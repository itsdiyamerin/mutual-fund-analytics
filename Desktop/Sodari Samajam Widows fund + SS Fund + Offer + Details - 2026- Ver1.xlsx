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cf8c8834022d3f/Desktop/"/>
    </mc:Choice>
  </mc:AlternateContent>
  <xr:revisionPtr revIDLastSave="0" documentId="8_{C2813CC7-BCCB-406D-AC07-583F87B4055D}" xr6:coauthVersionLast="47" xr6:coauthVersionMax="47" xr10:uidLastSave="{00000000-0000-0000-0000-000000000000}"/>
  <bookViews>
    <workbookView xWindow="-108" yWindow="-108" windowWidth="23256" windowHeight="12456" tabRatio="944" activeTab="5" xr2:uid="{00000000-000D-0000-FFFF-FFFF00000000}"/>
  </bookViews>
  <sheets>
    <sheet name="SS Final Audit" sheetId="29" r:id="rId1"/>
    <sheet name="WIDOWS List" sheetId="4" r:id="rId2"/>
    <sheet name="WID FUND BILLS " sheetId="7" r:id="rId3"/>
    <sheet name="SS FUND" sheetId="5" r:id="rId4"/>
    <sheet name="EDUCATION" sheetId="28" r:id="rId5"/>
    <sheet name="Education fund " sheetId="31" r:id="rId6"/>
    <sheet name="OFFERTORY" sheetId="27" r:id="rId7"/>
    <sheet name="SS Final 2022" sheetId="26" r:id="rId8"/>
    <sheet name="Expenc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31" l="1"/>
  <c r="D9" i="31"/>
  <c r="E86" i="28"/>
  <c r="D86" i="28"/>
  <c r="D5" i="27"/>
  <c r="D6" i="27" s="1"/>
  <c r="D7" i="27" s="1"/>
  <c r="D8" i="27" s="1"/>
  <c r="D9" i="27" s="1"/>
  <c r="D10" i="27" s="1"/>
  <c r="D11" i="27" s="1"/>
  <c r="D78" i="28"/>
  <c r="E41" i="26"/>
  <c r="L48" i="29"/>
  <c r="L41" i="29"/>
  <c r="L24" i="29"/>
  <c r="L43" i="29" s="1"/>
  <c r="E24" i="29"/>
  <c r="D6" i="9"/>
  <c r="D11" i="31" l="1"/>
  <c r="D88" i="28"/>
  <c r="L47" i="29"/>
  <c r="L49" i="29" s="1"/>
  <c r="E43" i="29"/>
  <c r="F62" i="7" l="1"/>
  <c r="D50" i="28"/>
  <c r="E3" i="28"/>
  <c r="E4" i="28" s="1"/>
  <c r="E5" i="28" s="1"/>
  <c r="E6" i="28" s="1"/>
  <c r="E7" i="28" s="1"/>
  <c r="E8" i="28" s="1"/>
  <c r="E9" i="28" s="1"/>
  <c r="E10" i="28" s="1"/>
  <c r="E11" i="28" s="1"/>
  <c r="E12" i="28" s="1"/>
  <c r="E13" i="28" s="1"/>
  <c r="E14" i="28" s="1"/>
  <c r="C13" i="27"/>
  <c r="D1" i="27" s="1"/>
  <c r="C15" i="27" s="1"/>
  <c r="D3" i="27"/>
  <c r="D4" i="27" s="1"/>
  <c r="C30" i="9"/>
  <c r="E6" i="7"/>
  <c r="E5" i="5"/>
  <c r="L41" i="26"/>
  <c r="L48" i="26" s="1"/>
  <c r="L24" i="26"/>
  <c r="E24" i="26"/>
  <c r="E43" i="26" s="1"/>
  <c r="S2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S8" i="4"/>
  <c r="S7" i="4"/>
  <c r="S6" i="4"/>
  <c r="S5" i="4"/>
  <c r="S4" i="4"/>
  <c r="S3" i="4"/>
  <c r="D52" i="28" l="1"/>
  <c r="E53" i="28" s="1"/>
  <c r="E54" i="28" s="1"/>
  <c r="E55" i="28" s="1"/>
  <c r="E56" i="28" s="1"/>
  <c r="E57" i="28" s="1"/>
  <c r="E58" i="28" s="1"/>
  <c r="E59" i="28" s="1"/>
  <c r="E60" i="28" s="1"/>
  <c r="E61" i="28" s="1"/>
  <c r="E62" i="28" s="1"/>
  <c r="E63" i="28" s="1"/>
  <c r="E64" i="28" s="1"/>
  <c r="E65" i="28" s="1"/>
  <c r="E66" i="28" s="1"/>
  <c r="E67" i="28" s="1"/>
  <c r="E68" i="28" s="1"/>
  <c r="E69" i="28" s="1"/>
  <c r="E70" i="28" s="1"/>
  <c r="F6" i="28"/>
  <c r="H2" i="28"/>
  <c r="L43" i="26"/>
  <c r="E15" i="28"/>
  <c r="E16" i="28" s="1"/>
  <c r="E17" i="28" s="1"/>
  <c r="E18" i="28" s="1"/>
  <c r="E19" i="28" s="1"/>
  <c r="E20" i="28" s="1"/>
  <c r="E21" i="28" s="1"/>
  <c r="E22" i="28" s="1"/>
  <c r="E23" i="28" s="1"/>
  <c r="E24" i="28" s="1"/>
  <c r="E25" i="28" s="1"/>
  <c r="E26" i="28" s="1"/>
  <c r="E27" i="28" s="1"/>
  <c r="E28" i="28" s="1"/>
  <c r="E29" i="28" s="1"/>
  <c r="E30" i="28" s="1"/>
  <c r="E31" i="28" s="1"/>
  <c r="E32" i="28" s="1"/>
  <c r="E33" i="28" s="1"/>
  <c r="E34" i="28" s="1"/>
  <c r="E35" i="28" s="1"/>
  <c r="E36" i="28" s="1"/>
  <c r="L47" i="26"/>
  <c r="L49" i="26" s="1"/>
  <c r="E71" i="28" l="1"/>
  <c r="E72" i="28" s="1"/>
  <c r="E73" i="28" s="1"/>
  <c r="E74" i="28" s="1"/>
  <c r="E75" i="28" s="1"/>
  <c r="E76" i="28" s="1"/>
  <c r="E37" i="28"/>
  <c r="E38" i="28" s="1"/>
  <c r="E39" i="28" s="1"/>
  <c r="E40" i="28" s="1"/>
  <c r="E41" i="28" s="1"/>
  <c r="E42" i="28" s="1"/>
  <c r="E43" i="28" s="1"/>
  <c r="E44" i="28" s="1"/>
  <c r="E45" i="28" s="1"/>
  <c r="E46" i="28" s="1"/>
  <c r="E47" i="28" s="1"/>
  <c r="E48" i="28" s="1"/>
  <c r="E49" i="28" s="1"/>
  <c r="E7" i="7"/>
  <c r="E8" i="7" s="1"/>
  <c r="E9" i="7" s="1"/>
  <c r="E10" i="7" s="1"/>
  <c r="D62" i="5"/>
  <c r="H2" i="5" s="1"/>
  <c r="G8" i="5"/>
  <c r="E77" i="28" l="1"/>
  <c r="E78" i="28" s="1"/>
  <c r="G2" i="28" s="1"/>
  <c r="E6" i="5"/>
  <c r="E7" i="5" s="1"/>
  <c r="E8" i="5" s="1"/>
  <c r="E9" i="5" s="1"/>
  <c r="E10" i="5" s="1"/>
  <c r="E11" i="5" l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Q87" i="4"/>
  <c r="E59" i="5" l="1"/>
  <c r="E60" i="5" s="1"/>
  <c r="E61" i="5" s="1"/>
  <c r="E38" i="5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D17" i="9"/>
  <c r="G11" i="9"/>
  <c r="G12" i="9"/>
  <c r="C17" i="9"/>
  <c r="I2" i="9" l="1"/>
  <c r="D87" i="4" l="1"/>
  <c r="P87" i="4"/>
  <c r="O87" i="4"/>
  <c r="N87" i="4"/>
  <c r="M87" i="4"/>
  <c r="L87" i="4"/>
  <c r="K87" i="4"/>
  <c r="J87" i="4"/>
  <c r="I87" i="4"/>
  <c r="H87" i="4"/>
  <c r="G87" i="4"/>
  <c r="F87" i="4"/>
  <c r="E87" i="4"/>
  <c r="C87" i="4"/>
  <c r="S87" i="4" l="1"/>
  <c r="D3" i="9" l="1"/>
  <c r="G2" i="9" s="1"/>
  <c r="D7" i="9" l="1"/>
  <c r="D8" i="9" s="1"/>
  <c r="D9" i="9" s="1"/>
  <c r="D10" i="9" s="1"/>
  <c r="D11" i="9" s="1"/>
  <c r="D12" i="9" s="1"/>
  <c r="C33" i="9" l="1"/>
  <c r="E11" i="7" l="1"/>
  <c r="E12" i="7" s="1"/>
  <c r="E13" i="7" s="1"/>
  <c r="E14" i="7" s="1"/>
  <c r="E15" i="7" s="1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D59" i="7"/>
  <c r="D62" i="7" s="1"/>
  <c r="E31" i="7" l="1"/>
  <c r="E32" i="7" s="1"/>
  <c r="E33" i="7" s="1"/>
  <c r="E34" i="7" s="1"/>
  <c r="E35" i="7" s="1"/>
  <c r="E36" i="7" s="1"/>
  <c r="E37" i="7" s="1"/>
  <c r="E38" i="7" s="1"/>
  <c r="E39" i="7" s="1"/>
  <c r="E40" i="7" s="1"/>
  <c r="E41" i="7" s="1"/>
  <c r="E42" i="7" s="1"/>
  <c r="E43" i="7" s="1"/>
  <c r="E44" i="7" s="1"/>
  <c r="E45" i="7" s="1"/>
  <c r="E46" i="7" s="1"/>
  <c r="E47" i="7" s="1"/>
  <c r="E48" i="7" s="1"/>
  <c r="E49" i="7" s="1"/>
  <c r="E50" i="7" s="1"/>
  <c r="E51" i="7" s="1"/>
  <c r="E52" i="7" s="1"/>
  <c r="E53" i="7" s="1"/>
  <c r="E54" i="7" s="1"/>
  <c r="E55" i="7" s="1"/>
  <c r="E56" i="7" s="1"/>
  <c r="E57" i="7" s="1"/>
  <c r="E58" i="7" s="1"/>
  <c r="E63" i="7"/>
  <c r="E64" i="7" s="1"/>
  <c r="E65" i="7" s="1"/>
  <c r="E66" i="7" s="1"/>
  <c r="E67" i="7" s="1"/>
  <c r="E68" i="7" s="1"/>
  <c r="E69" i="7" s="1"/>
  <c r="E70" i="7" s="1"/>
  <c r="E71" i="7" s="1"/>
  <c r="E72" i="7" s="1"/>
  <c r="E73" i="7" s="1"/>
  <c r="E74" i="7" s="1"/>
  <c r="E75" i="7" s="1"/>
  <c r="E76" i="7" s="1"/>
  <c r="E77" i="7" s="1"/>
  <c r="E78" i="7" s="1"/>
  <c r="E79" i="7" s="1"/>
  <c r="E80" i="7" s="1"/>
  <c r="E81" i="7" s="1"/>
  <c r="E82" i="7" s="1"/>
  <c r="E83" i="7" s="1"/>
  <c r="E84" i="7" s="1"/>
  <c r="E85" i="7" s="1"/>
  <c r="E86" i="7" s="1"/>
  <c r="E87" i="7" s="1"/>
  <c r="E88" i="7" s="1"/>
  <c r="E89" i="7" s="1"/>
  <c r="E90" i="7" s="1"/>
  <c r="E91" i="7" s="1"/>
  <c r="D121" i="7"/>
  <c r="D124" i="7" s="1"/>
  <c r="E92" i="7" l="1"/>
  <c r="E93" i="7" s="1"/>
  <c r="E94" i="7" s="1"/>
  <c r="E95" i="7" s="1"/>
  <c r="E96" i="7" s="1"/>
  <c r="E97" i="7" s="1"/>
  <c r="E98" i="7" s="1"/>
  <c r="E99" i="7" s="1"/>
  <c r="E100" i="7" s="1"/>
  <c r="E101" i="7" s="1"/>
  <c r="E102" i="7" s="1"/>
  <c r="E103" i="7" s="1"/>
  <c r="E104" i="7" s="1"/>
  <c r="E105" i="7" s="1"/>
  <c r="E125" i="7"/>
  <c r="E126" i="7" s="1"/>
  <c r="E127" i="7" s="1"/>
  <c r="E128" i="7" s="1"/>
  <c r="E129" i="7" s="1"/>
  <c r="E130" i="7" s="1"/>
  <c r="E131" i="7" s="1"/>
  <c r="E132" i="7" s="1"/>
  <c r="E133" i="7" s="1"/>
  <c r="E134" i="7" s="1"/>
  <c r="E135" i="7" s="1"/>
  <c r="E136" i="7" s="1"/>
  <c r="E137" i="7" s="1"/>
  <c r="E138" i="7" s="1"/>
  <c r="E139" i="7" s="1"/>
  <c r="E140" i="7" s="1"/>
  <c r="E141" i="7" s="1"/>
  <c r="E142" i="7" s="1"/>
  <c r="E143" i="7" s="1"/>
  <c r="E144" i="7" s="1"/>
  <c r="E145" i="7" s="1"/>
  <c r="E146" i="7" s="1"/>
  <c r="E147" i="7" s="1"/>
  <c r="E148" i="7" s="1"/>
  <c r="E149" i="7" s="1"/>
  <c r="E150" i="7" s="1"/>
  <c r="E151" i="7" s="1"/>
  <c r="E152" i="7" s="1"/>
  <c r="E153" i="7" s="1"/>
  <c r="E154" i="7" s="1"/>
  <c r="E155" i="7" s="1"/>
  <c r="E156" i="7" s="1"/>
  <c r="E157" i="7" s="1"/>
  <c r="E158" i="7" s="1"/>
  <c r="E159" i="7" s="1"/>
  <c r="E160" i="7" s="1"/>
  <c r="E161" i="7" s="1"/>
  <c r="E162" i="7" s="1"/>
  <c r="E163" i="7" s="1"/>
  <c r="E164" i="7" s="1"/>
  <c r="E165" i="7" s="1"/>
  <c r="E166" i="7" s="1"/>
  <c r="E167" i="7" s="1"/>
  <c r="E168" i="7" s="1"/>
  <c r="E169" i="7" s="1"/>
  <c r="E170" i="7" s="1"/>
  <c r="E171" i="7" s="1"/>
  <c r="E172" i="7" s="1"/>
  <c r="E173" i="7" s="1"/>
  <c r="E174" i="7" s="1"/>
  <c r="E175" i="7" s="1"/>
  <c r="E176" i="7" s="1"/>
  <c r="E177" i="7" s="1"/>
  <c r="E178" i="7" s="1"/>
  <c r="E179" i="7" s="1"/>
  <c r="E180" i="7" s="1"/>
  <c r="E181" i="7" s="1"/>
  <c r="D182" i="7"/>
  <c r="F2" i="7" s="1"/>
  <c r="E106" i="7" l="1"/>
  <c r="E107" i="7" s="1"/>
  <c r="E108" i="7" s="1"/>
  <c r="E109" i="7" s="1"/>
  <c r="E110" i="7" s="1"/>
  <c r="E111" i="7" s="1"/>
  <c r="E112" i="7" s="1"/>
  <c r="E113" i="7" s="1"/>
  <c r="E114" i="7" s="1"/>
  <c r="E115" i="7" s="1"/>
  <c r="E116" i="7" s="1"/>
  <c r="E117" i="7" s="1"/>
  <c r="E118" i="7" s="1"/>
  <c r="E119" i="7" s="1"/>
  <c r="E120" i="7" s="1"/>
  <c r="I2" i="7"/>
</calcChain>
</file>

<file path=xl/sharedStrings.xml><?xml version="1.0" encoding="utf-8"?>
<sst xmlns="http://schemas.openxmlformats.org/spreadsheetml/2006/main" count="609" uniqueCount="269">
  <si>
    <t>Total</t>
  </si>
  <si>
    <t>Sheeba Shinoy</t>
  </si>
  <si>
    <t>Betsy Moncy</t>
  </si>
  <si>
    <t>Linu Paul</t>
  </si>
  <si>
    <t>Bincy Mathew</t>
  </si>
  <si>
    <t>Anu Mathew</t>
  </si>
  <si>
    <t>Sherin Stivi</t>
  </si>
  <si>
    <t>Sumi Byju</t>
  </si>
  <si>
    <t>Beena Moncy</t>
  </si>
  <si>
    <t>Mini Varghese</t>
  </si>
  <si>
    <t>Liby Biju</t>
  </si>
  <si>
    <t>Ancy Biju</t>
  </si>
  <si>
    <t>Rosamma James</t>
  </si>
  <si>
    <t>Biji Nithin</t>
  </si>
  <si>
    <t>Reena Jacob</t>
  </si>
  <si>
    <t>Sobina Aji</t>
  </si>
  <si>
    <t>Sini Jose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</si>
  <si>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</si>
  <si>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</si>
  <si>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</si>
  <si>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</si>
  <si>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</si>
  <si>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</si>
  <si>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</si>
  <si>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</si>
  <si>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</si>
  <si>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</si>
  <si>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</si>
  <si>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</si>
  <si>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</si>
  <si>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Beena Sam</t>
  </si>
  <si>
    <t>Biji Roy</t>
  </si>
  <si>
    <t>Bincy Biju</t>
  </si>
  <si>
    <t>Blessy Thomas</t>
  </si>
  <si>
    <t>Dilsy Siby</t>
  </si>
  <si>
    <t>Gracy Mathew ( Ven)</t>
  </si>
  <si>
    <t>Helen Nijo</t>
  </si>
  <si>
    <t>Jainy Tharakan</t>
  </si>
  <si>
    <t>Jessy Sunil</t>
  </si>
  <si>
    <t>Jisha Samson</t>
  </si>
  <si>
    <t>Joyamma Roy</t>
  </si>
  <si>
    <t>Kochumol Joy</t>
  </si>
  <si>
    <t>Lally Abraham ( Regi)</t>
  </si>
  <si>
    <t>Lovely Aby</t>
  </si>
  <si>
    <t>Nisha Bijo</t>
  </si>
  <si>
    <t>Nisha Koshy</t>
  </si>
  <si>
    <t>Pushpa Joseph</t>
  </si>
  <si>
    <t>Salykutty Yohannan</t>
  </si>
  <si>
    <t>Sibi Raju</t>
  </si>
  <si>
    <t>Sicily Saji</t>
  </si>
  <si>
    <t>Smitha Saji</t>
  </si>
  <si>
    <t>Susy Babu</t>
  </si>
  <si>
    <t xml:space="preserve">Susan Jacob </t>
  </si>
  <si>
    <t>Sunitha Johnson</t>
  </si>
  <si>
    <t>Sponsors Names</t>
  </si>
  <si>
    <t>Susan Sam Oommen</t>
  </si>
  <si>
    <t>Simi Jomon</t>
  </si>
  <si>
    <t>S/N</t>
  </si>
  <si>
    <t>Sosamma Easo</t>
  </si>
  <si>
    <t>Date</t>
  </si>
  <si>
    <t>Bill#</t>
  </si>
  <si>
    <t>Name</t>
  </si>
  <si>
    <t>SS Fund</t>
  </si>
  <si>
    <t>GRAND Total</t>
  </si>
  <si>
    <t>Amount</t>
  </si>
  <si>
    <t>Month</t>
  </si>
  <si>
    <t>Balance forward</t>
  </si>
  <si>
    <t>PRAISE THE LORD</t>
  </si>
  <si>
    <t>SODARI SAMAJAM GENERAL FUND</t>
  </si>
  <si>
    <t>INCOME</t>
  </si>
  <si>
    <t>EXPENDITURE</t>
  </si>
  <si>
    <t>TOTAL INCOME</t>
  </si>
  <si>
    <t>SODARI SAMAJAM WIDOWS FUND</t>
  </si>
  <si>
    <t>SODARI SAMAJAM GENERAL FUND - Expense</t>
  </si>
  <si>
    <t>SODARI SAMAJAM WIDOWS FUND - Expense</t>
  </si>
  <si>
    <t>Grand Total - Expense</t>
  </si>
  <si>
    <t>G.Total</t>
  </si>
  <si>
    <t>GRAND TOTAL</t>
  </si>
  <si>
    <t>Aug-Dec</t>
  </si>
  <si>
    <t>KD.</t>
  </si>
  <si>
    <t>BALANCE IN SODARI SAMAJAM GENERAL FUND</t>
  </si>
  <si>
    <t>Treasurer</t>
  </si>
  <si>
    <t>President</t>
  </si>
  <si>
    <t xml:space="preserve">                                                  </t>
  </si>
  <si>
    <t xml:space="preserve"> TOTAL  EXPENDITURE</t>
  </si>
  <si>
    <t>BALANCE IN WIDOWS FUND</t>
  </si>
  <si>
    <t xml:space="preserve"> TOTAL  INCOME</t>
  </si>
  <si>
    <t xml:space="preserve"> TOTAL  CASH IN HAND</t>
  </si>
  <si>
    <t xml:space="preserve">                                     TOTAL  EXPENDITURE</t>
  </si>
  <si>
    <t>Biji Nithen</t>
  </si>
  <si>
    <t>SODARI SAMAJAM GENERAL FUND - Expense ( FROM OLD COUNCIL)</t>
  </si>
  <si>
    <t>Sherly Stanly</t>
  </si>
  <si>
    <t>Binu Gigi</t>
  </si>
  <si>
    <t>Smitti Joji</t>
  </si>
  <si>
    <t>Anu Shajan</t>
  </si>
  <si>
    <t>Bincy Wilson</t>
  </si>
  <si>
    <t>Laly Regi Valiamannil</t>
  </si>
  <si>
    <t>Shinu Shine</t>
  </si>
  <si>
    <t>Leelamma Lorance</t>
  </si>
  <si>
    <t>Ruby Wilson</t>
  </si>
  <si>
    <t>Anila Shijoy</t>
  </si>
  <si>
    <t>Anu Johnson</t>
  </si>
  <si>
    <t>Blezy Shibu</t>
  </si>
  <si>
    <t>Christi Elvin</t>
  </si>
  <si>
    <t>Dency Lalachan</t>
  </si>
  <si>
    <t>Divya Sminu</t>
  </si>
  <si>
    <t>Gency Gibi</t>
  </si>
  <si>
    <t>Jiji Anil</t>
  </si>
  <si>
    <t>Jinu P Thomas</t>
  </si>
  <si>
    <t>Julie  Biju</t>
  </si>
  <si>
    <t>Leena Manoj</t>
  </si>
  <si>
    <t>Litty Sam</t>
  </si>
  <si>
    <t>Rosamma Biju</t>
  </si>
  <si>
    <t>Shaini Varghese</t>
  </si>
  <si>
    <t>Sherly Abraham</t>
  </si>
  <si>
    <t>Shiney Manoj</t>
  </si>
  <si>
    <t>Sibi Stanly</t>
  </si>
  <si>
    <t>Snowy Dennis</t>
  </si>
  <si>
    <t>Soni Johony</t>
  </si>
  <si>
    <t>Sunu Sam</t>
  </si>
  <si>
    <t>Teeja Joji</t>
  </si>
  <si>
    <t>Shaji Varghese (Ven)</t>
  </si>
  <si>
    <t>Lexy Louis</t>
  </si>
  <si>
    <t>BALANCE RECEIVED FROM PREVIOUS YEAR/COUNCIL</t>
  </si>
  <si>
    <t>IPC PENTECOSTAL CHURCH OF KUWAIT (PCK) SODARI SAMAJAM STATEMENT OF ACCOUNT - PERIOD  13 Feb 2026 to 10 Mar  2026</t>
  </si>
  <si>
    <t>Monthly Aid for  8 WIDOWS 3000/-Rs  FOR  (Feb to May 2026 ) 4 months- Joyamma</t>
  </si>
  <si>
    <t>Monthly Aid for  8 WIDOWS 3000/-Rs  FOR  (Feb to May 2026 ) 4 months- Ancy</t>
  </si>
  <si>
    <t>Monthly Aid for  8 WIDOWS 3000/-Rs  FOR  (Feb to May 2026 ) 4 months- Beena</t>
  </si>
  <si>
    <t>Monthly Aid for  8 WIDOWS 3000/-Rs  FOR  (Feb to May 2026 ) 4 months- Bincy</t>
  </si>
  <si>
    <t>MONTHLY AID FOR 1 WIDOWS  8 Months  months (10,000+12,000)IRS-22,000</t>
  </si>
  <si>
    <t>Bincy Omman</t>
  </si>
  <si>
    <t xml:space="preserve">Jitha </t>
  </si>
  <si>
    <t>Rosamma Shajan</t>
  </si>
  <si>
    <t>Annamma Thomas</t>
  </si>
  <si>
    <t>Gracy Venmoney</t>
  </si>
  <si>
    <t>Cristy Elvin</t>
  </si>
  <si>
    <t>Kochmol Manoj</t>
  </si>
  <si>
    <t>Shiney Lalji</t>
  </si>
  <si>
    <t>Sumi Biju</t>
  </si>
  <si>
    <t>Dency Lalachen</t>
  </si>
  <si>
    <t>Pr. Abraham Varghese</t>
  </si>
  <si>
    <t>Betcy Moncy</t>
  </si>
  <si>
    <t>Siby Stanly</t>
  </si>
  <si>
    <t>Sinitha Johnson</t>
  </si>
  <si>
    <t>Biju Paul</t>
  </si>
  <si>
    <t>Mini Shiju</t>
  </si>
  <si>
    <t>Smity Joji</t>
  </si>
  <si>
    <t>Sony Johny</t>
  </si>
  <si>
    <t>Pushpa Simon</t>
  </si>
  <si>
    <t>Jainy Mamen</t>
  </si>
  <si>
    <t>Susan Sam</t>
  </si>
  <si>
    <t>Sheeba Shoney</t>
  </si>
  <si>
    <t>Anniversary Offertory on 15 Apr 2022</t>
  </si>
  <si>
    <t>OFFERTORY</t>
  </si>
  <si>
    <t>offertory</t>
  </si>
  <si>
    <t>Wednesday</t>
  </si>
  <si>
    <t>Monthly Aid for  8 WIDOWS 3000/-Rs  FOR  (Feb to May 2026 ) 4/8 months- Beena</t>
  </si>
  <si>
    <t>Blesy Shibu</t>
  </si>
  <si>
    <t>Preseedha Joji</t>
  </si>
  <si>
    <t>Jessie Anil</t>
  </si>
  <si>
    <t>Betty Babukutty</t>
  </si>
  <si>
    <t>Laly Abraham</t>
  </si>
  <si>
    <t>Kochmol Joy</t>
  </si>
  <si>
    <t>Lincy Varghese</t>
  </si>
  <si>
    <t>Geetha Susilan</t>
  </si>
  <si>
    <t>Sandiyamol</t>
  </si>
  <si>
    <t>Biji binu</t>
  </si>
  <si>
    <t>Pushpam Simon</t>
  </si>
  <si>
    <t>Cristy Evlin</t>
  </si>
  <si>
    <t>Leelaamma Lorance</t>
  </si>
  <si>
    <t>Princy Anij</t>
  </si>
  <si>
    <t>Anila Shoney</t>
  </si>
  <si>
    <t>Diya Sminu</t>
  </si>
  <si>
    <t>Bincy Sujith</t>
  </si>
  <si>
    <t>Jainey Maman</t>
  </si>
  <si>
    <t>Offertory  From 28 Mar to 18 Mar to 1 Apr 26</t>
  </si>
  <si>
    <t>Shiney Varghese</t>
  </si>
  <si>
    <t>Susan  Jacob</t>
  </si>
  <si>
    <t>Siby Raju</t>
  </si>
  <si>
    <t>Anitha Teacher</t>
  </si>
  <si>
    <t>1 x MOMENTO  (GIFT -  for Sr. Nisha Koshy)</t>
  </si>
  <si>
    <t>Jesmie Anthony</t>
  </si>
  <si>
    <t>Sony Promod</t>
  </si>
  <si>
    <t>Geetha</t>
  </si>
  <si>
    <t>MONTHLY AID FOR 2 WIDOWS  4 Months  months (12,000+12,000)IRS-22,000</t>
  </si>
  <si>
    <t>Sony Johnny</t>
  </si>
  <si>
    <t>Betxy Moncy</t>
  </si>
  <si>
    <t>Sneha Jobi</t>
  </si>
  <si>
    <t>Susan James</t>
  </si>
  <si>
    <t>Sheeba Shnoy</t>
  </si>
  <si>
    <t>COLLECTION FOR WIDOWS FUND From 1 Mar 26 to 4 May 2026</t>
  </si>
  <si>
    <t>Collection for Sodari Samajam Fund/Charrity  Till 4 May 2026</t>
  </si>
  <si>
    <t>Linu paul</t>
  </si>
  <si>
    <t>Sumi Baiju</t>
  </si>
  <si>
    <t>Lovely Abey</t>
  </si>
  <si>
    <t>Githa</t>
  </si>
  <si>
    <t>Geetha Susheelan</t>
  </si>
  <si>
    <t>Suni Saji</t>
  </si>
  <si>
    <t>Preseeda Joji</t>
  </si>
  <si>
    <t>Rosamma Sajan</t>
  </si>
  <si>
    <t>Blessy Sam</t>
  </si>
  <si>
    <t>Jessy Stephen</t>
  </si>
  <si>
    <t>Delsy Sibi</t>
  </si>
  <si>
    <t>Sumi Jomon</t>
  </si>
  <si>
    <t>Prabha Raju</t>
  </si>
  <si>
    <t>Julie George</t>
  </si>
  <si>
    <t>Region Sodari Samjam</t>
  </si>
  <si>
    <t>Sister Maheswari</t>
  </si>
  <si>
    <t>Jinu p Thomas</t>
  </si>
  <si>
    <t>Gisha Samson</t>
  </si>
  <si>
    <t>COLLECTION FOR WIDOWS FUND From 8 May 26 to 9 May 26</t>
  </si>
  <si>
    <t>Blessy Shibu</t>
  </si>
  <si>
    <t>Annie Regi</t>
  </si>
  <si>
    <t>Saaji Leegish</t>
  </si>
  <si>
    <t>Susan Sunny</t>
  </si>
  <si>
    <t>Sandiya Sunil</t>
  </si>
  <si>
    <t>Gift for Geetha Sister</t>
  </si>
  <si>
    <t>Sneha Joby</t>
  </si>
  <si>
    <t>Anila Shenoy</t>
  </si>
  <si>
    <t>Cristy Elivin</t>
  </si>
  <si>
    <r>
      <t xml:space="preserve">Shaji Varghese - </t>
    </r>
    <r>
      <rPr>
        <b/>
        <sz val="9"/>
        <color rgb="FF000000"/>
        <rFont val="Arial"/>
        <family val="2"/>
      </rPr>
      <t>Venmoney</t>
    </r>
  </si>
  <si>
    <t>Fula Wilson</t>
  </si>
  <si>
    <t>Teena Robin</t>
  </si>
  <si>
    <t>Shiney Cheiran</t>
  </si>
  <si>
    <t>Lizy Boben</t>
  </si>
  <si>
    <t>COLLECTION FOR WIDOWS FUND Till  31 Mar 26</t>
  </si>
  <si>
    <t>COLLECTION FOR WIDOWS FUND Till 30 Apr 26</t>
  </si>
  <si>
    <t>Linta Raju</t>
  </si>
  <si>
    <t>Helan Nijo</t>
  </si>
  <si>
    <t>Jeena Ruben</t>
  </si>
  <si>
    <t>COLLECTION FOR WIDOWS FUND From 22 &amp; 23 May 26</t>
  </si>
  <si>
    <t>Sosamma CV</t>
  </si>
  <si>
    <t>Julie Biju</t>
  </si>
  <si>
    <t>Bincy Lalachen</t>
  </si>
  <si>
    <t>Anu johnson</t>
  </si>
  <si>
    <t>Sheaba Binesh</t>
  </si>
  <si>
    <t>Soji Shoney</t>
  </si>
  <si>
    <t>Preesdha  Joji</t>
  </si>
  <si>
    <t>Githa Binoy</t>
  </si>
  <si>
    <t>Jency Gibi</t>
  </si>
  <si>
    <t>Sine Jose</t>
  </si>
  <si>
    <t>Seneh Jobi</t>
  </si>
  <si>
    <t>Presedha Joji</t>
  </si>
  <si>
    <t>Lexus Louis</t>
  </si>
  <si>
    <t>COLLECTION FOR WIDOWS FUND From 29 &amp; 30 May 26</t>
  </si>
  <si>
    <t>MONTHLY AID FOR 1 WIDOWS  8 Months  months (10,000+12,000)IRS-22,000 ( Julie)</t>
  </si>
  <si>
    <t>MONTHLY AID FOR 2 WIDOWS  4 Months  months (12,000+12,000)IRS-24,000 (Julie)</t>
  </si>
  <si>
    <t>COLLECTION FOR WIDOWS FUND From 15 May 26 to 16 May 26</t>
  </si>
  <si>
    <t>SUMMARY</t>
  </si>
  <si>
    <t>Total Collection</t>
  </si>
  <si>
    <t>Harvest Mission Delhi</t>
  </si>
  <si>
    <t>2 X Education Support  India</t>
  </si>
  <si>
    <t>Balance</t>
  </si>
  <si>
    <t>IPC PENTECOSTAL CHURCH OF KUWAIT (PCK) SODARI SAMAJAM STATEMENT OF ACCOUNT - PERIOD  13 Feb 2026 to 31 May 2026</t>
  </si>
  <si>
    <t>1 X Education Support  India</t>
  </si>
  <si>
    <t>Offertory  From  18 Mar to  31 May 26</t>
  </si>
  <si>
    <t>Collection for Sodari Samajam Fun/Charity  Till 2 Mar 26</t>
  </si>
  <si>
    <t>Collection for Sodari Samajam Fun/Charity  till 31 Mar 26</t>
  </si>
  <si>
    <t>Collection for Sodari Samajam Fun/Charity  till 30 Apr 26</t>
  </si>
  <si>
    <t>Collection for Sodari Samajam Fun/Charity  till 9 May 26</t>
  </si>
  <si>
    <t>Collection for Sodari Samajam Fun/Charity  till 16 May 26</t>
  </si>
  <si>
    <t>Collection for Sodari Samajam Fun/Charity  till 22 &amp; 23 May26</t>
  </si>
  <si>
    <t>Collection for Sodari Samajam Fun/Charity  till 29 &amp; 30 May 26</t>
  </si>
  <si>
    <t>Gift Bible for Sr. Geetha</t>
  </si>
  <si>
    <t>COLLECTION FOR WIDOWS FUND 28/2/26</t>
  </si>
  <si>
    <t>COLLECTION FOR WIDOWS FUND From 1 May 26 to 2 May 26</t>
  </si>
  <si>
    <r>
      <t xml:space="preserve">                             </t>
    </r>
    <r>
      <rPr>
        <b/>
        <sz val="18"/>
        <color theme="1"/>
        <rFont val="Calibri"/>
        <family val="2"/>
        <scheme val="minor"/>
      </rPr>
      <t>EDUCATION SUPPORT FUND</t>
    </r>
  </si>
  <si>
    <t>2 X Education Support  Kerala</t>
  </si>
  <si>
    <t>1 X Education Support  Kerala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</si>
</sst>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\-mmm;@"/>
  </numFmts>
  <fonts count="3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4"/>
      <color rgb="FFFF0000"/>
      <name val="Times New Roman"/>
      <family val="1"/>
    </font>
    <font>
      <b/>
      <sz val="9"/>
      <color rgb="FF000000"/>
      <name val="Times New Roman"/>
      <family val="1"/>
    </font>
    <font>
      <b/>
      <sz val="11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b/>
      <sz val="14"/>
      <color rgb="FFFF0000"/>
      <name val="Arial"/>
      <family val="2"/>
    </font>
    <font>
      <b/>
      <sz val="10"/>
      <color rgb="FFFF0000"/>
      <name val="Arial"/>
      <family val="2"/>
    </font>
    <font>
      <b/>
      <sz val="14"/>
      <color rgb="FF00B050"/>
      <name val="Arial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505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.5"/>
      <color theme="1"/>
      <name val="Calibri"/>
      <family val="2"/>
      <scheme val="minor"/>
    </font>
    <font>
      <b/>
      <u/>
      <sz val="11.5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  <font>
      <b/>
      <sz val="11.5"/>
      <color rgb="FF00B050"/>
      <name val="Calibri"/>
      <family val="2"/>
      <scheme val="minor"/>
    </font>
    <font>
      <b/>
      <sz val="11.5"/>
      <color rgb="FFFF0000"/>
      <name val="Calibri"/>
      <family val="2"/>
      <scheme val="minor"/>
    </font>
    <font>
      <b/>
      <sz val="12"/>
      <color rgb="FFFF0000"/>
      <name val="Arial"/>
      <family val="2"/>
    </font>
    <font>
      <b/>
      <sz val="16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u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0"/>
      <color rgb="FFFF0000"/>
      <name val="Times New Roman"/>
      <family val="1"/>
    </font>
    <font>
      <b/>
      <sz val="11"/>
      <color rgb="FFFF0000"/>
      <name val="Calibri"/>
      <family val="2"/>
      <scheme val="minor"/>
    </font>
    <font>
      <b/>
      <sz val="8"/>
      <color rgb="FF000000"/>
      <name val="Times New Roman"/>
      <family val="1"/>
    </font>
    <font>
      <b/>
      <sz val="14"/>
      <name val="Calibri"/>
      <family val="2"/>
      <scheme val="minor"/>
    </font>
    <font>
      <b/>
      <sz val="10.5"/>
      <color rgb="FF000000"/>
      <name val="Arial"/>
      <family val="2"/>
    </font>
    <font>
      <b/>
      <sz val="1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9" tint="0.79998168889431442"/>
        <bgColor indexed="64"/>
      </patternFill>
    </fill>
  </fills>
  <borders count="1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dotted">
        <color auto="1"/>
      </bottom>
      <diagonal/>
    </border>
    <border>
      <left style="dotted">
        <color auto="1"/>
      </left>
      <right/>
      <top style="hair">
        <color auto="1"/>
      </top>
      <bottom style="dotted">
        <color auto="1"/>
      </bottom>
      <diagonal/>
    </border>
    <border>
      <left/>
      <right style="dotted">
        <color auto="1"/>
      </right>
      <top style="hair">
        <color auto="1"/>
      </top>
      <bottom style="dotted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auto="1"/>
      </left>
      <right style="thick">
        <color indexed="64"/>
      </right>
      <top style="hair">
        <color auto="1"/>
      </top>
      <bottom style="dotted">
        <color auto="1"/>
      </bottom>
      <diagonal/>
    </border>
    <border>
      <left style="dotted">
        <color auto="1"/>
      </left>
      <right style="thick">
        <color indexed="64"/>
      </right>
      <top style="dotted">
        <color auto="1"/>
      </top>
      <bottom style="dotted">
        <color auto="1"/>
      </bottom>
      <diagonal/>
    </border>
    <border>
      <left/>
      <right style="thick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 style="double">
        <color indexed="64"/>
      </bottom>
      <diagonal/>
    </border>
    <border>
      <left/>
      <right style="thick">
        <color indexed="64"/>
      </right>
      <top/>
      <bottom style="double">
        <color indexed="64"/>
      </bottom>
      <diagonal/>
    </border>
    <border>
      <left style="hair">
        <color auto="1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dashed">
        <color auto="1"/>
      </left>
      <right/>
      <top style="thin">
        <color indexed="64"/>
      </top>
      <bottom style="thin">
        <color indexed="64"/>
      </bottom>
      <diagonal/>
    </border>
    <border>
      <left style="dashed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auto="1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double">
        <color indexed="64"/>
      </bottom>
      <diagonal/>
    </border>
    <border>
      <left/>
      <right style="dashed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tted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6">
    <xf numFmtId="0" fontId="0" fillId="0" borderId="0" xfId="0"/>
    <xf numFmtId="0" fontId="1" fillId="0" borderId="0" xfId="0" applyFont="1"/>
    <xf numFmtId="1" fontId="1" fillId="0" borderId="0" xfId="0" applyNumberFormat="1" applyFont="1" applyAlignment="1">
      <alignment horizontal="center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wrapText="1"/>
    </xf>
    <xf numFmtId="164" fontId="5" fillId="0" borderId="7" xfId="0" applyNumberFormat="1" applyFont="1" applyBorder="1" applyAlignment="1">
      <alignment horizontal="center" vertical="center" wrapText="1"/>
    </xf>
    <xf numFmtId="1" fontId="6" fillId="0" borderId="6" xfId="0" applyNumberFormat="1" applyFont="1" applyBorder="1" applyAlignment="1">
      <alignment horizontal="center" vertical="center" wrapText="1"/>
    </xf>
    <xf numFmtId="1" fontId="5" fillId="0" borderId="8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wrapText="1"/>
    </xf>
    <xf numFmtId="1" fontId="7" fillId="0" borderId="5" xfId="0" applyNumberFormat="1" applyFont="1" applyBorder="1" applyAlignment="1">
      <alignment horizontal="center" vertical="center" wrapText="1"/>
    </xf>
    <xf numFmtId="1" fontId="7" fillId="0" borderId="14" xfId="0" applyNumberFormat="1" applyFont="1" applyBorder="1" applyAlignment="1">
      <alignment horizontal="center" vertical="center" wrapText="1"/>
    </xf>
    <xf numFmtId="165" fontId="5" fillId="0" borderId="15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wrapText="1"/>
    </xf>
    <xf numFmtId="1" fontId="5" fillId="0" borderId="1" xfId="0" applyNumberFormat="1" applyFont="1" applyBorder="1" applyAlignment="1">
      <alignment horizontal="left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1" fontId="7" fillId="0" borderId="16" xfId="0" applyNumberFormat="1" applyFont="1" applyBorder="1" applyAlignment="1">
      <alignment horizontal="center" vertical="center" wrapText="1"/>
    </xf>
    <xf numFmtId="16" fontId="5" fillId="0" borderId="15" xfId="0" applyNumberFormat="1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1" fontId="0" fillId="0" borderId="0" xfId="0" applyNumberFormat="1"/>
    <xf numFmtId="164" fontId="7" fillId="0" borderId="16" xfId="0" applyNumberFormat="1" applyFont="1" applyBorder="1" applyAlignment="1">
      <alignment horizontal="center" vertical="center" wrapText="1"/>
    </xf>
    <xf numFmtId="1" fontId="5" fillId="0" borderId="7" xfId="0" applyNumberFormat="1" applyFont="1" applyBorder="1" applyAlignment="1">
      <alignment horizontal="center" vertical="center" wrapText="1"/>
    </xf>
    <xf numFmtId="16" fontId="5" fillId="0" borderId="13" xfId="0" applyNumberFormat="1" applyFont="1" applyBorder="1" applyAlignment="1">
      <alignment horizontal="left" vertical="center" wrapText="1"/>
    </xf>
    <xf numFmtId="164" fontId="5" fillId="0" borderId="5" xfId="0" applyNumberFormat="1" applyFont="1" applyBorder="1" applyAlignment="1">
      <alignment horizontal="left" vertical="center" wrapText="1"/>
    </xf>
    <xf numFmtId="1" fontId="5" fillId="0" borderId="5" xfId="0" applyNumberFormat="1" applyFont="1" applyBorder="1" applyAlignment="1">
      <alignment horizontal="center" vertical="center" wrapText="1"/>
    </xf>
    <xf numFmtId="1" fontId="5" fillId="0" borderId="23" xfId="0" applyNumberFormat="1" applyFont="1" applyBorder="1" applyAlignment="1">
      <alignment horizontal="left" vertical="center" wrapText="1"/>
    </xf>
    <xf numFmtId="164" fontId="5" fillId="0" borderId="27" xfId="0" applyNumberFormat="1" applyFont="1" applyBorder="1" applyAlignment="1">
      <alignment horizontal="center" vertical="center" wrapText="1"/>
    </xf>
    <xf numFmtId="1" fontId="5" fillId="2" borderId="10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7" fillId="0" borderId="33" xfId="0" applyFont="1" applyBorder="1" applyAlignment="1">
      <alignment horizontal="left" vertical="center" wrapText="1"/>
    </xf>
    <xf numFmtId="164" fontId="7" fillId="0" borderId="34" xfId="0" applyNumberFormat="1" applyFont="1" applyBorder="1" applyAlignment="1">
      <alignment horizontal="center" vertical="center" wrapText="1"/>
    </xf>
    <xf numFmtId="164" fontId="7" fillId="0" borderId="9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165" fontId="7" fillId="0" borderId="15" xfId="0" applyNumberFormat="1" applyFont="1" applyBorder="1" applyAlignment="1">
      <alignment horizontal="left" vertical="center" wrapText="1"/>
    </xf>
    <xf numFmtId="1" fontId="7" fillId="0" borderId="1" xfId="0" applyNumberFormat="1" applyFont="1" applyBorder="1" applyAlignment="1">
      <alignment horizontal="left" vertical="center" wrapText="1"/>
    </xf>
    <xf numFmtId="14" fontId="7" fillId="0" borderId="25" xfId="0" applyNumberFormat="1" applyFont="1" applyBorder="1" applyAlignment="1">
      <alignment horizontal="center" vertical="center" wrapText="1"/>
    </xf>
    <xf numFmtId="164" fontId="7" fillId="0" borderId="35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left"/>
    </xf>
    <xf numFmtId="164" fontId="11" fillId="0" borderId="0" xfId="0" applyNumberFormat="1" applyFont="1" applyAlignment="1">
      <alignment horizontal="center" vertical="center"/>
    </xf>
    <xf numFmtId="164" fontId="11" fillId="0" borderId="0" xfId="0" applyNumberFormat="1" applyFont="1"/>
    <xf numFmtId="164" fontId="7" fillId="0" borderId="5" xfId="0" applyNumberFormat="1" applyFont="1" applyBorder="1" applyAlignment="1">
      <alignment vertical="center" wrapText="1"/>
    </xf>
    <xf numFmtId="14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" fontId="8" fillId="0" borderId="0" xfId="0" applyNumberFormat="1" applyFont="1" applyAlignment="1">
      <alignment horizontal="center" vertical="center" wrapText="1"/>
    </xf>
    <xf numFmtId="165" fontId="5" fillId="0" borderId="17" xfId="0" applyNumberFormat="1" applyFont="1" applyBorder="1" applyAlignment="1">
      <alignment horizontal="left" vertical="center" wrapText="1"/>
    </xf>
    <xf numFmtId="1" fontId="7" fillId="3" borderId="1" xfId="0" applyNumberFormat="1" applyFont="1" applyFill="1" applyBorder="1" applyAlignment="1">
      <alignment horizontal="left" vertical="center" wrapText="1"/>
    </xf>
    <xf numFmtId="1" fontId="8" fillId="0" borderId="4" xfId="0" applyNumberFormat="1" applyFont="1" applyBorder="1" applyAlignment="1">
      <alignment vertical="center" wrapText="1"/>
    </xf>
    <xf numFmtId="0" fontId="15" fillId="0" borderId="0" xfId="0" applyFont="1"/>
    <xf numFmtId="0" fontId="17" fillId="0" borderId="0" xfId="0" applyFont="1"/>
    <xf numFmtId="0" fontId="17" fillId="4" borderId="51" xfId="0" applyFont="1" applyFill="1" applyBorder="1" applyAlignment="1">
      <alignment horizontal="left"/>
    </xf>
    <xf numFmtId="0" fontId="17" fillId="6" borderId="53" xfId="0" applyFont="1" applyFill="1" applyBorder="1" applyAlignment="1">
      <alignment horizontal="left"/>
    </xf>
    <xf numFmtId="0" fontId="23" fillId="0" borderId="0" xfId="0" applyFont="1"/>
    <xf numFmtId="0" fontId="23" fillId="0" borderId="63" xfId="0" applyFont="1" applyBorder="1"/>
    <xf numFmtId="164" fontId="23" fillId="0" borderId="0" xfId="0" applyNumberFormat="1" applyFont="1" applyAlignment="1">
      <alignment horizontal="center"/>
    </xf>
    <xf numFmtId="0" fontId="24" fillId="0" borderId="64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3" fillId="0" borderId="65" xfId="0" applyFont="1" applyBorder="1"/>
    <xf numFmtId="0" fontId="26" fillId="0" borderId="0" xfId="0" applyFont="1"/>
    <xf numFmtId="0" fontId="26" fillId="0" borderId="64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/>
    <xf numFmtId="0" fontId="25" fillId="0" borderId="65" xfId="0" applyFont="1" applyBorder="1"/>
    <xf numFmtId="164" fontId="25" fillId="0" borderId="0" xfId="0" applyNumberFormat="1" applyFont="1" applyAlignment="1">
      <alignment horizontal="center"/>
    </xf>
    <xf numFmtId="164" fontId="25" fillId="0" borderId="68" xfId="0" applyNumberFormat="1" applyFont="1" applyBorder="1" applyAlignment="1">
      <alignment horizontal="center"/>
    </xf>
    <xf numFmtId="164" fontId="25" fillId="0" borderId="69" xfId="0" applyNumberFormat="1" applyFont="1" applyBorder="1" applyAlignment="1">
      <alignment horizontal="center"/>
    </xf>
    <xf numFmtId="0" fontId="25" fillId="0" borderId="64" xfId="0" applyFont="1" applyBorder="1"/>
    <xf numFmtId="0" fontId="25" fillId="0" borderId="0" xfId="0" applyFont="1"/>
    <xf numFmtId="164" fontId="23" fillId="0" borderId="65" xfId="0" applyNumberFormat="1" applyFont="1" applyBorder="1" applyAlignment="1">
      <alignment horizontal="center"/>
    </xf>
    <xf numFmtId="164" fontId="25" fillId="0" borderId="70" xfId="0" applyNumberFormat="1" applyFont="1" applyBorder="1" applyAlignment="1">
      <alignment horizontal="center"/>
    </xf>
    <xf numFmtId="164" fontId="25" fillId="0" borderId="65" xfId="0" applyNumberFormat="1" applyFont="1" applyBorder="1" applyAlignment="1">
      <alignment horizontal="center"/>
    </xf>
    <xf numFmtId="0" fontId="25" fillId="0" borderId="73" xfId="0" applyFont="1" applyBorder="1"/>
    <xf numFmtId="0" fontId="25" fillId="0" borderId="59" xfId="0" applyFont="1" applyBorder="1"/>
    <xf numFmtId="164" fontId="23" fillId="0" borderId="59" xfId="0" applyNumberFormat="1" applyFont="1" applyBorder="1" applyAlignment="1">
      <alignment horizontal="center"/>
    </xf>
    <xf numFmtId="0" fontId="23" fillId="0" borderId="59" xfId="0" applyFont="1" applyBorder="1"/>
    <xf numFmtId="0" fontId="25" fillId="0" borderId="59" xfId="0" applyFont="1" applyBorder="1" applyAlignment="1">
      <alignment horizontal="center"/>
    </xf>
    <xf numFmtId="164" fontId="25" fillId="0" borderId="74" xfId="0" applyNumberFormat="1" applyFont="1" applyBorder="1" applyAlignment="1">
      <alignment horizontal="center"/>
    </xf>
    <xf numFmtId="0" fontId="25" fillId="0" borderId="17" xfId="0" applyFont="1" applyBorder="1"/>
    <xf numFmtId="0" fontId="25" fillId="4" borderId="5" xfId="0" applyFont="1" applyFill="1" applyBorder="1" applyAlignment="1">
      <alignment horizontal="left"/>
    </xf>
    <xf numFmtId="0" fontId="23" fillId="0" borderId="64" xfId="0" applyFont="1" applyBorder="1"/>
    <xf numFmtId="0" fontId="25" fillId="0" borderId="60" xfId="0" applyFont="1" applyBorder="1"/>
    <xf numFmtId="0" fontId="25" fillId="6" borderId="1" xfId="0" applyFont="1" applyFill="1" applyBorder="1" applyAlignment="1">
      <alignment horizontal="left"/>
    </xf>
    <xf numFmtId="0" fontId="25" fillId="0" borderId="47" xfId="0" applyFont="1" applyBorder="1"/>
    <xf numFmtId="0" fontId="23" fillId="0" borderId="79" xfId="0" applyFont="1" applyBorder="1"/>
    <xf numFmtId="0" fontId="23" fillId="0" borderId="80" xfId="0" applyFont="1" applyBorder="1"/>
    <xf numFmtId="0" fontId="23" fillId="0" borderId="81" xfId="0" applyFont="1" applyBorder="1"/>
    <xf numFmtId="0" fontId="23" fillId="0" borderId="31" xfId="0" applyFont="1" applyBorder="1"/>
    <xf numFmtId="0" fontId="23" fillId="0" borderId="32" xfId="0" applyFont="1" applyBorder="1"/>
    <xf numFmtId="0" fontId="23" fillId="0" borderId="12" xfId="0" applyFont="1" applyBorder="1"/>
    <xf numFmtId="0" fontId="25" fillId="0" borderId="40" xfId="0" applyFont="1" applyBorder="1"/>
    <xf numFmtId="0" fontId="25" fillId="0" borderId="41" xfId="0" applyFont="1" applyBorder="1"/>
    <xf numFmtId="0" fontId="23" fillId="0" borderId="41" xfId="0" applyFont="1" applyBorder="1"/>
    <xf numFmtId="0" fontId="23" fillId="0" borderId="42" xfId="0" applyFont="1" applyBorder="1"/>
    <xf numFmtId="0" fontId="25" fillId="0" borderId="86" xfId="0" applyFont="1" applyBorder="1"/>
    <xf numFmtId="0" fontId="23" fillId="0" borderId="87" xfId="0" applyFont="1" applyBorder="1"/>
    <xf numFmtId="164" fontId="25" fillId="0" borderId="48" xfId="0" applyNumberFormat="1" applyFont="1" applyBorder="1" applyAlignment="1">
      <alignment horizontal="center"/>
    </xf>
    <xf numFmtId="0" fontId="25" fillId="0" borderId="90" xfId="0" applyFont="1" applyBorder="1"/>
    <xf numFmtId="164" fontId="23" fillId="8" borderId="91" xfId="0" applyNumberFormat="1" applyFont="1" applyFill="1" applyBorder="1" applyAlignment="1">
      <alignment horizontal="center"/>
    </xf>
    <xf numFmtId="164" fontId="25" fillId="8" borderId="91" xfId="0" applyNumberFormat="1" applyFont="1" applyFill="1" applyBorder="1" applyAlignment="1">
      <alignment horizontal="center"/>
    </xf>
    <xf numFmtId="164" fontId="26" fillId="8" borderId="91" xfId="0" applyNumberFormat="1" applyFont="1" applyFill="1" applyBorder="1" applyAlignment="1">
      <alignment horizontal="center"/>
    </xf>
    <xf numFmtId="164" fontId="23" fillId="8" borderId="88" xfId="0" applyNumberFormat="1" applyFont="1" applyFill="1" applyBorder="1" applyAlignment="1">
      <alignment horizontal="center"/>
    </xf>
    <xf numFmtId="164" fontId="14" fillId="8" borderId="92" xfId="0" applyNumberFormat="1" applyFont="1" applyFill="1" applyBorder="1" applyAlignment="1">
      <alignment horizontal="center"/>
    </xf>
    <xf numFmtId="164" fontId="13" fillId="6" borderId="93" xfId="0" applyNumberFormat="1" applyFont="1" applyFill="1" applyBorder="1" applyAlignment="1">
      <alignment horizontal="center"/>
    </xf>
    <xf numFmtId="164" fontId="15" fillId="8" borderId="92" xfId="0" applyNumberFormat="1" applyFont="1" applyFill="1" applyBorder="1" applyAlignment="1">
      <alignment horizontal="center"/>
    </xf>
    <xf numFmtId="164" fontId="23" fillId="8" borderId="94" xfId="0" applyNumberFormat="1" applyFont="1" applyFill="1" applyBorder="1" applyAlignment="1">
      <alignment horizontal="center"/>
    </xf>
    <xf numFmtId="0" fontId="0" fillId="5" borderId="0" xfId="0" applyFill="1"/>
    <xf numFmtId="164" fontId="8" fillId="0" borderId="10" xfId="0" applyNumberFormat="1" applyFont="1" applyBorder="1" applyAlignment="1">
      <alignment horizontal="center" vertical="center" wrapText="1"/>
    </xf>
    <xf numFmtId="1" fontId="28" fillId="0" borderId="14" xfId="0" applyNumberFormat="1" applyFont="1" applyBorder="1" applyAlignment="1">
      <alignment horizontal="center" vertical="center" wrapText="1"/>
    </xf>
    <xf numFmtId="1" fontId="29" fillId="0" borderId="10" xfId="0" applyNumberFormat="1" applyFont="1" applyBorder="1" applyAlignment="1">
      <alignment horizontal="center" vertical="center"/>
    </xf>
    <xf numFmtId="0" fontId="30" fillId="7" borderId="35" xfId="0" applyFont="1" applyFill="1" applyBorder="1" applyAlignment="1">
      <alignment horizontal="left"/>
    </xf>
    <xf numFmtId="164" fontId="22" fillId="4" borderId="82" xfId="0" applyNumberFormat="1" applyFont="1" applyFill="1" applyBorder="1" applyAlignment="1">
      <alignment horizontal="center"/>
    </xf>
    <xf numFmtId="164" fontId="22" fillId="4" borderId="53" xfId="0" applyNumberFormat="1" applyFont="1" applyFill="1" applyBorder="1" applyAlignment="1">
      <alignment horizontal="center"/>
    </xf>
    <xf numFmtId="164" fontId="5" fillId="0" borderId="98" xfId="0" applyNumberFormat="1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wrapText="1"/>
    </xf>
    <xf numFmtId="164" fontId="5" fillId="0" borderId="37" xfId="0" applyNumberFormat="1" applyFont="1" applyBorder="1" applyAlignment="1">
      <alignment horizontal="left" vertical="center" wrapText="1"/>
    </xf>
    <xf numFmtId="1" fontId="5" fillId="0" borderId="37" xfId="0" applyNumberFormat="1" applyFont="1" applyBorder="1" applyAlignment="1">
      <alignment horizontal="center" vertical="center" wrapText="1"/>
    </xf>
    <xf numFmtId="1" fontId="7" fillId="0" borderId="100" xfId="0" applyNumberFormat="1" applyFont="1" applyBorder="1" applyAlignment="1">
      <alignment horizontal="center" vertical="center" wrapText="1"/>
    </xf>
    <xf numFmtId="165" fontId="5" fillId="0" borderId="101" xfId="0" applyNumberFormat="1" applyFont="1" applyBorder="1" applyAlignment="1">
      <alignment horizontal="left" vertical="center" wrapText="1"/>
    </xf>
    <xf numFmtId="0" fontId="5" fillId="0" borderId="102" xfId="0" applyFont="1" applyBorder="1" applyAlignment="1">
      <alignment horizontal="center" wrapText="1"/>
    </xf>
    <xf numFmtId="1" fontId="5" fillId="0" borderId="27" xfId="0" applyNumberFormat="1" applyFont="1" applyBorder="1" applyAlignment="1">
      <alignment horizontal="left" vertical="center" wrapText="1"/>
    </xf>
    <xf numFmtId="1" fontId="5" fillId="0" borderId="35" xfId="0" applyNumberFormat="1" applyFont="1" applyBorder="1" applyAlignment="1">
      <alignment horizontal="center" vertical="center" wrapText="1"/>
    </xf>
    <xf numFmtId="1" fontId="7" fillId="0" borderId="103" xfId="0" applyNumberFormat="1" applyFont="1" applyBorder="1" applyAlignment="1">
      <alignment horizontal="center" vertical="center" wrapText="1"/>
    </xf>
    <xf numFmtId="1" fontId="7" fillId="0" borderId="104" xfId="0" applyNumberFormat="1" applyFont="1" applyBorder="1" applyAlignment="1">
      <alignment horizontal="center" vertical="center" wrapText="1"/>
    </xf>
    <xf numFmtId="164" fontId="32" fillId="8" borderId="91" xfId="0" applyNumberFormat="1" applyFont="1" applyFill="1" applyBorder="1" applyAlignment="1">
      <alignment horizontal="center"/>
    </xf>
    <xf numFmtId="0" fontId="32" fillId="0" borderId="0" xfId="0" applyFont="1"/>
    <xf numFmtId="164" fontId="25" fillId="4" borderId="76" xfId="0" applyNumberFormat="1" applyFont="1" applyFill="1" applyBorder="1" applyAlignment="1">
      <alignment horizontal="center"/>
    </xf>
    <xf numFmtId="0" fontId="25" fillId="0" borderId="56" xfId="0" applyFont="1" applyBorder="1" applyAlignment="1">
      <alignment horizontal="center"/>
    </xf>
    <xf numFmtId="0" fontId="25" fillId="0" borderId="50" xfId="0" applyFont="1" applyBorder="1" applyAlignment="1">
      <alignment horizontal="center"/>
    </xf>
    <xf numFmtId="0" fontId="17" fillId="4" borderId="52" xfId="0" applyFont="1" applyFill="1" applyBorder="1" applyAlignment="1">
      <alignment horizontal="center"/>
    </xf>
    <xf numFmtId="164" fontId="27" fillId="6" borderId="77" xfId="0" applyNumberFormat="1" applyFont="1" applyFill="1" applyBorder="1" applyAlignment="1">
      <alignment horizontal="center"/>
    </xf>
    <xf numFmtId="0" fontId="30" fillId="7" borderId="52" xfId="0" applyFont="1" applyFill="1" applyBorder="1" applyAlignment="1">
      <alignment horizontal="center"/>
    </xf>
    <xf numFmtId="0" fontId="25" fillId="0" borderId="1" xfId="0" applyFont="1" applyBorder="1" applyAlignment="1">
      <alignment horizontal="center"/>
    </xf>
    <xf numFmtId="16" fontId="7" fillId="3" borderId="15" xfId="0" applyNumberFormat="1" applyFont="1" applyFill="1" applyBorder="1" applyAlignment="1">
      <alignment horizontal="left" vertical="center" wrapText="1"/>
    </xf>
    <xf numFmtId="164" fontId="7" fillId="3" borderId="1" xfId="0" applyNumberFormat="1" applyFont="1" applyFill="1" applyBorder="1" applyAlignment="1">
      <alignment horizontal="left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164" fontId="7" fillId="3" borderId="16" xfId="0" applyNumberFormat="1" applyFont="1" applyFill="1" applyBorder="1" applyAlignment="1">
      <alignment horizontal="center" vertical="center" wrapText="1"/>
    </xf>
    <xf numFmtId="0" fontId="11" fillId="3" borderId="0" xfId="0" applyFont="1" applyFill="1"/>
    <xf numFmtId="1" fontId="11" fillId="3" borderId="0" xfId="0" applyNumberFormat="1" applyFont="1" applyFill="1"/>
    <xf numFmtId="165" fontId="7" fillId="3" borderId="15" xfId="0" applyNumberFormat="1" applyFont="1" applyFill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20" fillId="0" borderId="10" xfId="0" applyNumberFormat="1" applyFont="1" applyBorder="1"/>
    <xf numFmtId="0" fontId="20" fillId="0" borderId="3" xfId="0" applyFont="1" applyBorder="1"/>
    <xf numFmtId="164" fontId="28" fillId="0" borderId="10" xfId="0" applyNumberFormat="1" applyFont="1" applyBorder="1" applyAlignment="1">
      <alignment vertical="center" wrapText="1"/>
    </xf>
    <xf numFmtId="164" fontId="28" fillId="0" borderId="10" xfId="0" applyNumberFormat="1" applyFont="1" applyBorder="1" applyAlignment="1">
      <alignment horizontal="center" vertical="center" wrapText="1"/>
    </xf>
    <xf numFmtId="164" fontId="12" fillId="0" borderId="10" xfId="0" applyNumberFormat="1" applyFont="1" applyBorder="1" applyAlignment="1">
      <alignment horizontal="center"/>
    </xf>
    <xf numFmtId="164" fontId="1" fillId="0" borderId="42" xfId="0" applyNumberFormat="1" applyFont="1" applyBorder="1" applyAlignment="1">
      <alignment horizontal="center" vertical="center"/>
    </xf>
    <xf numFmtId="1" fontId="2" fillId="0" borderId="102" xfId="0" applyNumberFormat="1" applyFont="1" applyBorder="1" applyAlignment="1">
      <alignment horizontal="center" vertical="center" wrapText="1"/>
    </xf>
    <xf numFmtId="1" fontId="2" fillId="0" borderId="103" xfId="0" applyNumberFormat="1" applyFont="1" applyBorder="1" applyAlignment="1">
      <alignment horizontal="center" vertical="center" wrapText="1"/>
    </xf>
    <xf numFmtId="164" fontId="9" fillId="0" borderId="27" xfId="0" applyNumberFormat="1" applyFont="1" applyBorder="1" applyAlignment="1">
      <alignment vertical="center" wrapText="1"/>
    </xf>
    <xf numFmtId="164" fontId="9" fillId="0" borderId="36" xfId="0" applyNumberFormat="1" applyFont="1" applyBorder="1" applyAlignment="1">
      <alignment vertical="center" wrapText="1"/>
    </xf>
    <xf numFmtId="1" fontId="33" fillId="3" borderId="1" xfId="0" applyNumberFormat="1" applyFont="1" applyFill="1" applyBorder="1" applyAlignment="1">
      <alignment horizontal="center" vertical="center" wrapText="1"/>
    </xf>
    <xf numFmtId="165" fontId="7" fillId="3" borderId="6" xfId="0" applyNumberFormat="1" applyFont="1" applyFill="1" applyBorder="1" applyAlignment="1">
      <alignment horizontal="left" vertical="center" wrapText="1"/>
    </xf>
    <xf numFmtId="164" fontId="7" fillId="3" borderId="7" xfId="0" applyNumberFormat="1" applyFont="1" applyFill="1" applyBorder="1" applyAlignment="1">
      <alignment horizontal="left" vertical="center" wrapText="1"/>
    </xf>
    <xf numFmtId="164" fontId="7" fillId="3" borderId="8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 wrapText="1"/>
    </xf>
    <xf numFmtId="164" fontId="7" fillId="3" borderId="107" xfId="0" applyNumberFormat="1" applyFont="1" applyFill="1" applyBorder="1" applyAlignment="1">
      <alignment horizontal="center" vertical="center" wrapText="1"/>
    </xf>
    <xf numFmtId="165" fontId="7" fillId="3" borderId="17" xfId="0" applyNumberFormat="1" applyFont="1" applyFill="1" applyBorder="1" applyAlignment="1">
      <alignment horizontal="left" vertical="center" wrapText="1"/>
    </xf>
    <xf numFmtId="164" fontId="7" fillId="3" borderId="2" xfId="0" applyNumberFormat="1" applyFont="1" applyFill="1" applyBorder="1" applyAlignment="1">
      <alignment horizontal="left" vertical="center" wrapText="1"/>
    </xf>
    <xf numFmtId="16" fontId="5" fillId="0" borderId="1" xfId="0" applyNumberFormat="1" applyFont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" fontId="1" fillId="0" borderId="0" xfId="0" applyNumberFormat="1" applyFont="1"/>
    <xf numFmtId="0" fontId="25" fillId="0" borderId="46" xfId="0" applyFont="1" applyBorder="1" applyAlignment="1">
      <alignment horizontal="left"/>
    </xf>
    <xf numFmtId="0" fontId="25" fillId="0" borderId="0" xfId="0" applyFont="1" applyAlignment="1">
      <alignment horizontal="left"/>
    </xf>
    <xf numFmtId="1" fontId="2" fillId="0" borderId="40" xfId="0" applyNumberFormat="1" applyFont="1" applyBorder="1" applyAlignment="1">
      <alignment horizontal="center" vertical="center" wrapText="1"/>
    </xf>
    <xf numFmtId="1" fontId="2" fillId="0" borderId="96" xfId="0" applyNumberFormat="1" applyFont="1" applyBorder="1" applyAlignment="1">
      <alignment horizontal="center" vertical="center" wrapText="1"/>
    </xf>
    <xf numFmtId="1" fontId="34" fillId="4" borderId="0" xfId="0" applyNumberFormat="1" applyFont="1" applyFill="1" applyAlignment="1">
      <alignment horizontal="center"/>
    </xf>
    <xf numFmtId="164" fontId="11" fillId="3" borderId="0" xfId="0" applyNumberFormat="1" applyFont="1" applyFill="1"/>
    <xf numFmtId="164" fontId="7" fillId="3" borderId="34" xfId="0" applyNumberFormat="1" applyFont="1" applyFill="1" applyBorder="1" applyAlignment="1">
      <alignment horizontal="center" vertical="center" wrapText="1"/>
    </xf>
    <xf numFmtId="164" fontId="7" fillId="3" borderId="2" xfId="0" applyNumberFormat="1" applyFont="1" applyFill="1" applyBorder="1" applyAlignment="1">
      <alignment horizontal="center" vertical="center" wrapText="1"/>
    </xf>
    <xf numFmtId="164" fontId="7" fillId="3" borderId="7" xfId="0" applyNumberFormat="1" applyFont="1" applyFill="1" applyBorder="1" applyAlignment="1">
      <alignment horizontal="center" vertical="center" wrapText="1"/>
    </xf>
    <xf numFmtId="1" fontId="33" fillId="3" borderId="16" xfId="0" applyNumberFormat="1" applyFont="1" applyFill="1" applyBorder="1" applyAlignment="1">
      <alignment horizontal="center" vertical="center" wrapText="1"/>
    </xf>
    <xf numFmtId="1" fontId="1" fillId="3" borderId="37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1" xfId="0" applyFont="1" applyBorder="1" applyAlignment="1">
      <alignment horizontal="center"/>
    </xf>
    <xf numFmtId="164" fontId="2" fillId="3" borderId="1" xfId="0" applyNumberFormat="1" applyFont="1" applyFill="1" applyBorder="1" applyAlignment="1">
      <alignment horizontal="left" vertical="center" wrapText="1"/>
    </xf>
    <xf numFmtId="1" fontId="2" fillId="3" borderId="1" xfId="0" applyNumberFormat="1" applyFont="1" applyFill="1" applyBorder="1" applyAlignment="1">
      <alignment horizontal="left" vertical="center" wrapText="1"/>
    </xf>
    <xf numFmtId="1" fontId="2" fillId="3" borderId="35" xfId="0" applyNumberFormat="1" applyFont="1" applyFill="1" applyBorder="1" applyAlignment="1">
      <alignment horizontal="left" vertical="center" wrapText="1"/>
    </xf>
    <xf numFmtId="1" fontId="33" fillId="3" borderId="35" xfId="0" applyNumberFormat="1" applyFont="1" applyFill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164" fontId="2" fillId="0" borderId="34" xfId="0" applyNumberFormat="1" applyFont="1" applyBorder="1" applyAlignment="1">
      <alignment horizontal="left" vertical="center" wrapText="1"/>
    </xf>
    <xf numFmtId="1" fontId="2" fillId="2" borderId="34" xfId="0" applyNumberFormat="1" applyFont="1" applyFill="1" applyBorder="1" applyAlignment="1">
      <alignment horizontal="center" vertical="center" wrapText="1"/>
    </xf>
    <xf numFmtId="1" fontId="2" fillId="0" borderId="34" xfId="0" applyNumberFormat="1" applyFont="1" applyBorder="1" applyAlignment="1">
      <alignment horizontal="center" vertical="center" wrapText="1"/>
    </xf>
    <xf numFmtId="1" fontId="4" fillId="0" borderId="34" xfId="0" applyNumberFormat="1" applyFont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center" vertical="center" wrapText="1"/>
    </xf>
    <xf numFmtId="0" fontId="1" fillId="3" borderId="99" xfId="0" applyFont="1" applyFill="1" applyBorder="1" applyAlignment="1">
      <alignment horizontal="center"/>
    </xf>
    <xf numFmtId="164" fontId="2" fillId="3" borderId="37" xfId="0" applyNumberFormat="1" applyFont="1" applyFill="1" applyBorder="1" applyAlignment="1">
      <alignment horizontal="left" vertical="center" wrapText="1"/>
    </xf>
    <xf numFmtId="1" fontId="33" fillId="3" borderId="37" xfId="0" applyNumberFormat="1" applyFont="1" applyFill="1" applyBorder="1" applyAlignment="1">
      <alignment horizontal="center" vertical="center" wrapText="1"/>
    </xf>
    <xf numFmtId="1" fontId="33" fillId="3" borderId="100" xfId="0" applyNumberFormat="1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 vertical="center" wrapText="1"/>
    </xf>
    <xf numFmtId="0" fontId="2" fillId="3" borderId="101" xfId="0" applyFont="1" applyFill="1" applyBorder="1" applyAlignment="1">
      <alignment horizontal="center" vertical="center" wrapText="1"/>
    </xf>
    <xf numFmtId="1" fontId="33" fillId="3" borderId="104" xfId="0" applyNumberFormat="1" applyFont="1" applyFill="1" applyBorder="1" applyAlignment="1">
      <alignment horizontal="center" vertical="center" wrapText="1"/>
    </xf>
    <xf numFmtId="0" fontId="35" fillId="0" borderId="33" xfId="0" applyFont="1" applyBorder="1" applyAlignment="1">
      <alignment horizontal="center" vertical="center" wrapText="1"/>
    </xf>
    <xf numFmtId="164" fontId="2" fillId="0" borderId="108" xfId="0" applyNumberFormat="1" applyFont="1" applyBorder="1" applyAlignment="1">
      <alignment horizontal="left" vertical="center" wrapText="1"/>
    </xf>
    <xf numFmtId="1" fontId="2" fillId="2" borderId="33" xfId="0" applyNumberFormat="1" applyFont="1" applyFill="1" applyBorder="1" applyAlignment="1">
      <alignment horizontal="center" vertical="center" wrapText="1"/>
    </xf>
    <xf numFmtId="1" fontId="2" fillId="0" borderId="108" xfId="0" applyNumberFormat="1" applyFont="1" applyBorder="1" applyAlignment="1">
      <alignment horizontal="center" vertical="center" wrapText="1"/>
    </xf>
    <xf numFmtId="1" fontId="2" fillId="0" borderId="33" xfId="0" applyNumberFormat="1" applyFont="1" applyBorder="1" applyAlignment="1">
      <alignment horizontal="center" vertical="center" wrapText="1"/>
    </xf>
    <xf numFmtId="1" fontId="2" fillId="0" borderId="29" xfId="0" applyNumberFormat="1" applyFont="1" applyBorder="1" applyAlignment="1">
      <alignment horizontal="center" vertical="center" wrapText="1"/>
    </xf>
    <xf numFmtId="0" fontId="2" fillId="3" borderId="99" xfId="0" applyFont="1" applyFill="1" applyBorder="1" applyAlignment="1">
      <alignment horizontal="center" vertical="center" wrapText="1"/>
    </xf>
    <xf numFmtId="1" fontId="2" fillId="3" borderId="37" xfId="0" applyNumberFormat="1" applyFont="1" applyFill="1" applyBorder="1" applyAlignment="1">
      <alignment horizontal="left" vertical="center" wrapText="1"/>
    </xf>
    <xf numFmtId="1" fontId="2" fillId="0" borderId="95" xfId="0" applyNumberFormat="1" applyFont="1" applyBorder="1" applyAlignment="1">
      <alignment horizontal="center" vertical="center" wrapText="1"/>
    </xf>
    <xf numFmtId="1" fontId="2" fillId="0" borderId="97" xfId="0" applyNumberFormat="1" applyFont="1" applyBorder="1" applyAlignment="1">
      <alignment horizontal="center" vertical="center" wrapText="1"/>
    </xf>
    <xf numFmtId="1" fontId="3" fillId="0" borderId="42" xfId="0" applyNumberFormat="1" applyFont="1" applyBorder="1" applyAlignment="1">
      <alignment horizontal="center" vertical="center" wrapText="1"/>
    </xf>
    <xf numFmtId="0" fontId="25" fillId="0" borderId="85" xfId="0" applyFont="1" applyBorder="1" applyAlignment="1">
      <alignment horizontal="left"/>
    </xf>
    <xf numFmtId="0" fontId="25" fillId="0" borderId="49" xfId="0" applyFont="1" applyBorder="1" applyAlignment="1">
      <alignment horizontal="left"/>
    </xf>
    <xf numFmtId="164" fontId="36" fillId="3" borderId="71" xfId="0" applyNumberFormat="1" applyFont="1" applyFill="1" applyBorder="1" applyAlignment="1">
      <alignment horizontal="center"/>
    </xf>
    <xf numFmtId="0" fontId="17" fillId="11" borderId="53" xfId="0" applyFont="1" applyFill="1" applyBorder="1" applyAlignment="1">
      <alignment horizontal="left"/>
    </xf>
    <xf numFmtId="164" fontId="36" fillId="3" borderId="78" xfId="0" applyNumberFormat="1" applyFont="1" applyFill="1" applyBorder="1" applyAlignment="1">
      <alignment horizontal="center"/>
    </xf>
    <xf numFmtId="0" fontId="13" fillId="8" borderId="52" xfId="0" applyFont="1" applyFill="1" applyBorder="1" applyAlignment="1">
      <alignment horizontal="center"/>
    </xf>
    <xf numFmtId="164" fontId="19" fillId="8" borderId="71" xfId="0" applyNumberFormat="1" applyFont="1" applyFill="1" applyBorder="1" applyAlignment="1">
      <alignment horizontal="center"/>
    </xf>
    <xf numFmtId="164" fontId="19" fillId="3" borderId="93" xfId="0" applyNumberFormat="1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164" fontId="5" fillId="0" borderId="109" xfId="0" applyNumberFormat="1" applyFont="1" applyBorder="1" applyAlignment="1">
      <alignment horizontal="left" vertical="center" wrapText="1"/>
    </xf>
    <xf numFmtId="165" fontId="5" fillId="0" borderId="6" xfId="0" applyNumberFormat="1" applyFont="1" applyBorder="1" applyAlignment="1">
      <alignment horizontal="center" vertical="center" wrapText="1"/>
    </xf>
    <xf numFmtId="165" fontId="7" fillId="0" borderId="20" xfId="0" applyNumberFormat="1" applyFont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1" fontId="6" fillId="0" borderId="33" xfId="0" applyNumberFormat="1" applyFont="1" applyBorder="1" applyAlignment="1">
      <alignment horizontal="center" vertical="center" wrapText="1"/>
    </xf>
    <xf numFmtId="1" fontId="6" fillId="0" borderId="28" xfId="0" applyNumberFormat="1" applyFont="1" applyBorder="1" applyAlignment="1">
      <alignment horizontal="center" vertical="center" wrapText="1"/>
    </xf>
    <xf numFmtId="1" fontId="7" fillId="0" borderId="9" xfId="0" applyNumberFormat="1" applyFont="1" applyBorder="1" applyAlignment="1">
      <alignment horizontal="center" vertical="center" wrapText="1"/>
    </xf>
    <xf numFmtId="164" fontId="5" fillId="0" borderId="9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65" fontId="5" fillId="0" borderId="13" xfId="0" applyNumberFormat="1" applyFont="1" applyBorder="1" applyAlignment="1">
      <alignment horizontal="center" vertical="center" wrapText="1"/>
    </xf>
    <xf numFmtId="165" fontId="5" fillId="0" borderId="110" xfId="0" applyNumberFormat="1" applyFont="1" applyBorder="1" applyAlignment="1">
      <alignment horizontal="center" vertical="center" wrapText="1"/>
    </xf>
    <xf numFmtId="164" fontId="5" fillId="0" borderId="14" xfId="0" applyNumberFormat="1" applyFont="1" applyBorder="1" applyAlignment="1">
      <alignment horizontal="center" vertical="center" wrapText="1"/>
    </xf>
    <xf numFmtId="164" fontId="7" fillId="0" borderId="14" xfId="0" applyNumberFormat="1" applyFont="1" applyBorder="1" applyAlignment="1">
      <alignment horizontal="center" vertical="center" wrapText="1"/>
    </xf>
    <xf numFmtId="165" fontId="5" fillId="0" borderId="15" xfId="0" applyNumberFormat="1" applyFont="1" applyBorder="1" applyAlignment="1">
      <alignment horizontal="center" vertical="center" wrapText="1"/>
    </xf>
    <xf numFmtId="164" fontId="5" fillId="0" borderId="16" xfId="0" applyNumberFormat="1" applyFont="1" applyBorder="1" applyAlignment="1">
      <alignment horizontal="center" vertical="center" wrapText="1"/>
    </xf>
    <xf numFmtId="16" fontId="5" fillId="0" borderId="15" xfId="0" applyNumberFormat="1" applyFont="1" applyBorder="1" applyAlignment="1">
      <alignment horizontal="center" vertical="center" wrapText="1"/>
    </xf>
    <xf numFmtId="16" fontId="5" fillId="0" borderId="21" xfId="0" applyNumberFormat="1" applyFont="1" applyBorder="1" applyAlignment="1">
      <alignment horizontal="center" vertical="center" wrapText="1"/>
    </xf>
    <xf numFmtId="16" fontId="37" fillId="0" borderId="21" xfId="0" applyNumberFormat="1" applyFont="1" applyBorder="1" applyAlignment="1">
      <alignment horizontal="center" vertical="center" wrapText="1"/>
    </xf>
    <xf numFmtId="164" fontId="8" fillId="0" borderId="10" xfId="0" applyNumberFormat="1" applyFont="1" applyBorder="1" applyAlignment="1">
      <alignment vertical="center" wrapText="1"/>
    </xf>
    <xf numFmtId="164" fontId="8" fillId="0" borderId="3" xfId="0" applyNumberFormat="1" applyFont="1" applyBorder="1" applyAlignment="1">
      <alignment vertical="center" wrapText="1"/>
    </xf>
    <xf numFmtId="164" fontId="8" fillId="0" borderId="4" xfId="0" applyNumberFormat="1" applyFont="1" applyBorder="1" applyAlignment="1">
      <alignment vertical="center" wrapText="1"/>
    </xf>
    <xf numFmtId="0" fontId="25" fillId="0" borderId="64" xfId="0" applyFont="1" applyBorder="1" applyAlignment="1">
      <alignment horizontal="left"/>
    </xf>
    <xf numFmtId="0" fontId="17" fillId="0" borderId="0" xfId="0" applyFont="1" applyAlignment="1">
      <alignment horizontal="left"/>
    </xf>
    <xf numFmtId="164" fontId="5" fillId="0" borderId="7" xfId="0" applyNumberFormat="1" applyFont="1" applyBorder="1" applyAlignment="1">
      <alignment horizontal="left" vertical="center" wrapText="1"/>
    </xf>
    <xf numFmtId="0" fontId="0" fillId="5" borderId="0" xfId="0" applyFill="1" applyAlignment="1">
      <alignment horizontal="left"/>
    </xf>
    <xf numFmtId="164" fontId="5" fillId="0" borderId="27" xfId="0" applyNumberFormat="1" applyFont="1" applyBorder="1" applyAlignment="1">
      <alignment horizontal="left" vertical="center" wrapText="1"/>
    </xf>
    <xf numFmtId="164" fontId="5" fillId="0" borderId="0" xfId="0" applyNumberFormat="1" applyFont="1" applyAlignment="1">
      <alignment horizontal="left" vertical="center" wrapText="1"/>
    </xf>
    <xf numFmtId="164" fontId="5" fillId="0" borderId="1" xfId="0" applyNumberFormat="1" applyFont="1" applyBorder="1" applyAlignment="1">
      <alignment vertical="center" wrapText="1"/>
    </xf>
    <xf numFmtId="164" fontId="15" fillId="0" borderId="0" xfId="0" applyNumberFormat="1" applyFont="1"/>
    <xf numFmtId="164" fontId="23" fillId="0" borderId="0" xfId="0" applyNumberFormat="1" applyFont="1"/>
    <xf numFmtId="164" fontId="5" fillId="0" borderId="2" xfId="0" applyNumberFormat="1" applyFont="1" applyBorder="1" applyAlignment="1">
      <alignment horizontal="left" vertical="center" wrapText="1"/>
    </xf>
    <xf numFmtId="0" fontId="17" fillId="0" borderId="38" xfId="0" applyFont="1" applyBorder="1"/>
    <xf numFmtId="0" fontId="25" fillId="0" borderId="85" xfId="0" applyFont="1" applyBorder="1"/>
    <xf numFmtId="1" fontId="10" fillId="2" borderId="3" xfId="0" applyNumberFormat="1" applyFont="1" applyFill="1" applyBorder="1" applyAlignment="1">
      <alignment vertical="center" wrapText="1"/>
    </xf>
    <xf numFmtId="1" fontId="10" fillId="2" borderId="4" xfId="0" applyNumberFormat="1" applyFont="1" applyFill="1" applyBorder="1" applyAlignment="1">
      <alignment vertical="center" wrapText="1"/>
    </xf>
    <xf numFmtId="0" fontId="25" fillId="0" borderId="114" xfId="0" applyFont="1" applyBorder="1" applyAlignment="1">
      <alignment horizontal="left"/>
    </xf>
    <xf numFmtId="164" fontId="25" fillId="0" borderId="115" xfId="0" applyNumberFormat="1" applyFont="1" applyBorder="1" applyAlignment="1">
      <alignment horizontal="center"/>
    </xf>
    <xf numFmtId="164" fontId="23" fillId="8" borderId="92" xfId="0" applyNumberFormat="1" applyFont="1" applyFill="1" applyBorder="1" applyAlignment="1">
      <alignment horizontal="center"/>
    </xf>
    <xf numFmtId="1" fontId="5" fillId="0" borderId="111" xfId="0" applyNumberFormat="1" applyFont="1" applyBorder="1" applyAlignment="1">
      <alignment horizontal="left" vertical="center" wrapText="1"/>
    </xf>
    <xf numFmtId="16" fontId="5" fillId="0" borderId="24" xfId="0" applyNumberFormat="1" applyFont="1" applyBorder="1" applyAlignment="1">
      <alignment horizontal="left" vertical="center" wrapText="1"/>
    </xf>
    <xf numFmtId="165" fontId="5" fillId="0" borderId="21" xfId="0" applyNumberFormat="1" applyFont="1" applyBorder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164" fontId="8" fillId="0" borderId="0" xfId="0" applyNumberFormat="1" applyFont="1" applyAlignment="1">
      <alignment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vertical="center" wrapText="1"/>
    </xf>
    <xf numFmtId="164" fontId="8" fillId="0" borderId="24" xfId="0" applyNumberFormat="1" applyFont="1" applyBorder="1" applyAlignment="1">
      <alignment horizontal="center" vertical="center" wrapText="1"/>
    </xf>
    <xf numFmtId="1" fontId="10" fillId="2" borderId="116" xfId="0" applyNumberFormat="1" applyFont="1" applyFill="1" applyBorder="1" applyAlignment="1">
      <alignment vertical="center" wrapText="1"/>
    </xf>
    <xf numFmtId="1" fontId="10" fillId="2" borderId="29" xfId="0" applyNumberFormat="1" applyFont="1" applyFill="1" applyBorder="1" applyAlignment="1">
      <alignment vertical="center" wrapText="1"/>
    </xf>
    <xf numFmtId="1" fontId="8" fillId="0" borderId="11" xfId="0" applyNumberFormat="1" applyFont="1" applyBorder="1" applyAlignment="1">
      <alignment horizontal="center" vertical="center" wrapText="1"/>
    </xf>
    <xf numFmtId="1" fontId="8" fillId="0" borderId="42" xfId="0" applyNumberFormat="1" applyFont="1" applyBorder="1" applyAlignment="1">
      <alignment horizontal="center" vertical="center" wrapText="1"/>
    </xf>
    <xf numFmtId="16" fontId="5" fillId="0" borderId="99" xfId="0" applyNumberFormat="1" applyFont="1" applyBorder="1" applyAlignment="1">
      <alignment horizontal="left" vertical="center" wrapText="1"/>
    </xf>
    <xf numFmtId="16" fontId="5" fillId="0" borderId="101" xfId="0" applyNumberFormat="1" applyFont="1" applyBorder="1" applyAlignment="1">
      <alignment horizontal="left" vertical="center" wrapText="1"/>
    </xf>
    <xf numFmtId="1" fontId="5" fillId="0" borderId="35" xfId="0" applyNumberFormat="1" applyFont="1" applyBorder="1" applyAlignment="1">
      <alignment horizontal="left" vertical="center" wrapText="1"/>
    </xf>
    <xf numFmtId="0" fontId="25" fillId="0" borderId="30" xfId="0" applyFont="1" applyBorder="1" applyAlignment="1">
      <alignment horizontal="center"/>
    </xf>
    <xf numFmtId="0" fontId="25" fillId="0" borderId="65" xfId="0" applyFont="1" applyBorder="1" applyAlignment="1">
      <alignment horizontal="center"/>
    </xf>
    <xf numFmtId="0" fontId="25" fillId="0" borderId="28" xfId="0" applyFont="1" applyBorder="1" applyAlignment="1">
      <alignment horizontal="left"/>
    </xf>
    <xf numFmtId="0" fontId="25" fillId="0" borderId="29" xfId="0" applyFont="1" applyBorder="1" applyAlignment="1">
      <alignment horizontal="left"/>
    </xf>
    <xf numFmtId="0" fontId="17" fillId="0" borderId="28" xfId="0" applyFont="1" applyBorder="1" applyAlignment="1">
      <alignment horizontal="left"/>
    </xf>
    <xf numFmtId="0" fontId="17" fillId="0" borderId="29" xfId="0" applyFont="1" applyBorder="1" applyAlignment="1">
      <alignment horizontal="left"/>
    </xf>
    <xf numFmtId="164" fontId="24" fillId="0" borderId="58" xfId="0" applyNumberFormat="1" applyFont="1" applyBorder="1" applyAlignment="1">
      <alignment horizontal="center"/>
    </xf>
    <xf numFmtId="164" fontId="24" fillId="0" borderId="54" xfId="0" applyNumberFormat="1" applyFont="1" applyBorder="1" applyAlignment="1">
      <alignment horizontal="center"/>
    </xf>
    <xf numFmtId="164" fontId="24" fillId="0" borderId="75" xfId="0" applyNumberFormat="1" applyFont="1" applyBorder="1" applyAlignment="1">
      <alignment horizontal="center"/>
    </xf>
    <xf numFmtId="0" fontId="25" fillId="0" borderId="67" xfId="0" applyFont="1" applyBorder="1" applyAlignment="1">
      <alignment horizontal="left"/>
    </xf>
    <xf numFmtId="0" fontId="25" fillId="0" borderId="46" xfId="0" applyFont="1" applyBorder="1" applyAlignment="1">
      <alignment horizontal="left"/>
    </xf>
    <xf numFmtId="0" fontId="25" fillId="0" borderId="112" xfId="0" applyFont="1" applyBorder="1" applyAlignment="1">
      <alignment horizontal="left"/>
    </xf>
    <xf numFmtId="0" fontId="25" fillId="0" borderId="113" xfId="0" applyFont="1" applyBorder="1" applyAlignment="1">
      <alignment horizontal="left"/>
    </xf>
    <xf numFmtId="0" fontId="25" fillId="0" borderId="45" xfId="0" applyFont="1" applyBorder="1" applyAlignment="1">
      <alignment horizontal="left"/>
    </xf>
    <xf numFmtId="0" fontId="25" fillId="0" borderId="44" xfId="0" applyFont="1" applyBorder="1" applyAlignment="1">
      <alignment horizontal="left"/>
    </xf>
    <xf numFmtId="0" fontId="25" fillId="0" borderId="0" xfId="0" applyFont="1" applyAlignment="1">
      <alignment horizontal="left"/>
    </xf>
    <xf numFmtId="0" fontId="25" fillId="0" borderId="31" xfId="0" applyFont="1" applyBorder="1" applyAlignment="1">
      <alignment horizontal="left"/>
    </xf>
    <xf numFmtId="0" fontId="17" fillId="0" borderId="66" xfId="0" applyFont="1" applyBorder="1" applyAlignment="1">
      <alignment horizontal="center"/>
    </xf>
    <xf numFmtId="0" fontId="17" fillId="0" borderId="21" xfId="0" applyFont="1" applyBorder="1" applyAlignment="1">
      <alignment horizontal="center"/>
    </xf>
    <xf numFmtId="0" fontId="17" fillId="0" borderId="38" xfId="0" applyFont="1" applyBorder="1" applyAlignment="1">
      <alignment horizontal="center"/>
    </xf>
    <xf numFmtId="0" fontId="17" fillId="0" borderId="43" xfId="0" applyFont="1" applyBorder="1" applyAlignment="1">
      <alignment horizontal="center"/>
    </xf>
    <xf numFmtId="0" fontId="17" fillId="0" borderId="66" xfId="0" applyFont="1" applyBorder="1" applyAlignment="1">
      <alignment horizontal="left" vertical="center"/>
    </xf>
    <xf numFmtId="0" fontId="17" fillId="0" borderId="21" xfId="0" applyFont="1" applyBorder="1" applyAlignment="1">
      <alignment horizontal="left" vertical="center"/>
    </xf>
    <xf numFmtId="0" fontId="25" fillId="0" borderId="72" xfId="0" applyFont="1" applyBorder="1" applyAlignment="1">
      <alignment horizontal="center"/>
    </xf>
    <xf numFmtId="0" fontId="25" fillId="0" borderId="22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17" fillId="0" borderId="89" xfId="0" applyFont="1" applyBorder="1" applyAlignment="1">
      <alignment horizontal="center"/>
    </xf>
    <xf numFmtId="0" fontId="17" fillId="0" borderId="83" xfId="0" applyFont="1" applyBorder="1" applyAlignment="1">
      <alignment horizontal="center"/>
    </xf>
    <xf numFmtId="0" fontId="17" fillId="0" borderId="84" xfId="0" applyFont="1" applyBorder="1" applyAlignment="1">
      <alignment horizontal="center"/>
    </xf>
    <xf numFmtId="0" fontId="27" fillId="6" borderId="66" xfId="0" applyFont="1" applyFill="1" applyBorder="1" applyAlignment="1">
      <alignment horizontal="center"/>
    </xf>
    <xf numFmtId="0" fontId="27" fillId="6" borderId="21" xfId="0" applyFont="1" applyFill="1" applyBorder="1" applyAlignment="1">
      <alignment horizontal="center"/>
    </xf>
    <xf numFmtId="0" fontId="27" fillId="6" borderId="24" xfId="0" applyFont="1" applyFill="1" applyBorder="1" applyAlignment="1">
      <alignment horizontal="center"/>
    </xf>
    <xf numFmtId="0" fontId="25" fillId="0" borderId="57" xfId="0" applyFont="1" applyBorder="1" applyAlignment="1">
      <alignment horizontal="left"/>
    </xf>
    <xf numFmtId="0" fontId="25" fillId="0" borderId="55" xfId="0" applyFont="1" applyBorder="1" applyAlignment="1">
      <alignment horizontal="left"/>
    </xf>
    <xf numFmtId="0" fontId="24" fillId="0" borderId="61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 vertical="center"/>
    </xf>
    <xf numFmtId="0" fontId="16" fillId="0" borderId="64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65" xfId="0" applyFont="1" applyBorder="1" applyAlignment="1">
      <alignment horizontal="center"/>
    </xf>
    <xf numFmtId="0" fontId="31" fillId="10" borderId="64" xfId="0" applyFont="1" applyFill="1" applyBorder="1" applyAlignment="1">
      <alignment horizontal="center"/>
    </xf>
    <xf numFmtId="0" fontId="31" fillId="10" borderId="0" xfId="0" applyFont="1" applyFill="1" applyAlignment="1">
      <alignment horizontal="center"/>
    </xf>
    <xf numFmtId="0" fontId="21" fillId="9" borderId="0" xfId="0" applyFont="1" applyFill="1" applyAlignment="1">
      <alignment horizontal="center"/>
    </xf>
    <xf numFmtId="0" fontId="21" fillId="9" borderId="65" xfId="0" applyFont="1" applyFill="1" applyBorder="1" applyAlignment="1">
      <alignment horizontal="center"/>
    </xf>
    <xf numFmtId="0" fontId="18" fillId="4" borderId="66" xfId="0" applyFont="1" applyFill="1" applyBorder="1" applyAlignment="1">
      <alignment horizontal="center"/>
    </xf>
    <xf numFmtId="0" fontId="18" fillId="4" borderId="21" xfId="0" applyFont="1" applyFill="1" applyBorder="1" applyAlignment="1">
      <alignment horizontal="center"/>
    </xf>
    <xf numFmtId="0" fontId="18" fillId="4" borderId="24" xfId="0" applyFont="1" applyFill="1" applyBorder="1" applyAlignment="1">
      <alignment horizontal="center"/>
    </xf>
    <xf numFmtId="0" fontId="18" fillId="4" borderId="38" xfId="0" applyFont="1" applyFill="1" applyBorder="1" applyAlignment="1">
      <alignment horizontal="center" vertical="center"/>
    </xf>
    <xf numFmtId="0" fontId="18" fillId="4" borderId="21" xfId="0" applyFont="1" applyFill="1" applyBorder="1" applyAlignment="1">
      <alignment horizontal="center" vertical="center"/>
    </xf>
    <xf numFmtId="0" fontId="18" fillId="4" borderId="24" xfId="0" applyFont="1" applyFill="1" applyBorder="1" applyAlignment="1">
      <alignment horizontal="center" vertical="center"/>
    </xf>
    <xf numFmtId="0" fontId="25" fillId="0" borderId="85" xfId="0" applyFont="1" applyBorder="1" applyAlignment="1">
      <alignment horizontal="left"/>
    </xf>
    <xf numFmtId="0" fontId="25" fillId="0" borderId="49" xfId="0" applyFont="1" applyBorder="1" applyAlignment="1">
      <alignment horizontal="left"/>
    </xf>
    <xf numFmtId="0" fontId="17" fillId="0" borderId="38" xfId="0" applyFont="1" applyBorder="1" applyAlignment="1">
      <alignment horizontal="left"/>
    </xf>
    <xf numFmtId="0" fontId="17" fillId="0" borderId="21" xfId="0" applyFont="1" applyBorder="1" applyAlignment="1">
      <alignment horizontal="left"/>
    </xf>
    <xf numFmtId="0" fontId="17" fillId="0" borderId="24" xfId="0" applyFont="1" applyBorder="1" applyAlignment="1">
      <alignment horizontal="left"/>
    </xf>
    <xf numFmtId="0" fontId="17" fillId="0" borderId="3" xfId="0" applyFont="1" applyBorder="1" applyAlignment="1">
      <alignment horizontal="center" wrapText="1"/>
    </xf>
    <xf numFmtId="0" fontId="17" fillId="0" borderId="20" xfId="0" applyFont="1" applyBorder="1" applyAlignment="1">
      <alignment horizontal="center" wrapText="1"/>
    </xf>
    <xf numFmtId="0" fontId="17" fillId="0" borderId="4" xfId="0" applyFont="1" applyBorder="1" applyAlignment="1">
      <alignment horizontal="center" wrapText="1"/>
    </xf>
    <xf numFmtId="14" fontId="5" fillId="0" borderId="3" xfId="0" applyNumberFormat="1" applyFont="1" applyBorder="1" applyAlignment="1">
      <alignment horizontal="center" vertical="center" wrapText="1"/>
    </xf>
    <xf numFmtId="14" fontId="5" fillId="0" borderId="18" xfId="0" applyNumberFormat="1" applyFont="1" applyBorder="1" applyAlignment="1">
      <alignment horizontal="center" vertical="center" wrapText="1"/>
    </xf>
    <xf numFmtId="0" fontId="10" fillId="2" borderId="116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14" fontId="5" fillId="0" borderId="25" xfId="0" applyNumberFormat="1" applyFont="1" applyBorder="1" applyAlignment="1">
      <alignment horizontal="center" vertical="center" wrapText="1"/>
    </xf>
    <xf numFmtId="14" fontId="5" fillId="0" borderId="26" xfId="0" applyNumberFormat="1" applyFont="1" applyBorder="1" applyAlignment="1">
      <alignment horizontal="center" vertical="center" wrapText="1"/>
    </xf>
    <xf numFmtId="1" fontId="8" fillId="0" borderId="3" xfId="0" applyNumberFormat="1" applyFont="1" applyBorder="1" applyAlignment="1">
      <alignment horizontal="center" vertical="center" wrapText="1"/>
    </xf>
    <xf numFmtId="1" fontId="8" fillId="0" borderId="20" xfId="0" applyNumberFormat="1" applyFont="1" applyBorder="1" applyAlignment="1">
      <alignment horizontal="center" vertical="center" wrapText="1"/>
    </xf>
    <xf numFmtId="1" fontId="8" fillId="0" borderId="4" xfId="0" applyNumberFormat="1" applyFont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1" fontId="10" fillId="2" borderId="3" xfId="0" applyNumberFormat="1" applyFont="1" applyFill="1" applyBorder="1" applyAlignment="1">
      <alignment horizontal="center" vertical="center" wrapText="1"/>
    </xf>
    <xf numFmtId="1" fontId="10" fillId="2" borderId="4" xfId="0" applyNumberFormat="1" applyFont="1" applyFill="1" applyBorder="1" applyAlignment="1">
      <alignment horizontal="center" vertical="center" wrapText="1"/>
    </xf>
    <xf numFmtId="0" fontId="17" fillId="0" borderId="39" xfId="0" applyFont="1" applyBorder="1" applyAlignment="1">
      <alignment horizontal="center" wrapText="1"/>
    </xf>
    <xf numFmtId="0" fontId="17" fillId="0" borderId="106" xfId="0" applyFont="1" applyBorder="1" applyAlignment="1">
      <alignment horizontal="center" wrapText="1"/>
    </xf>
    <xf numFmtId="0" fontId="17" fillId="0" borderId="105" xfId="0" applyFont="1" applyBorder="1" applyAlignment="1">
      <alignment horizontal="center" wrapText="1"/>
    </xf>
    <xf numFmtId="164" fontId="8" fillId="0" borderId="3" xfId="0" applyNumberFormat="1" applyFont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0" fontId="10" fillId="2" borderId="29" xfId="0" applyFont="1" applyFill="1" applyBorder="1" applyAlignment="1">
      <alignment horizontal="center" vertical="center" wrapText="1"/>
    </xf>
    <xf numFmtId="14" fontId="5" fillId="0" borderId="11" xfId="0" applyNumberFormat="1" applyFont="1" applyBorder="1" applyAlignment="1">
      <alignment horizontal="center" vertical="center" wrapText="1"/>
    </xf>
    <xf numFmtId="14" fontId="5" fillId="0" borderId="117" xfId="0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/>
    </xf>
    <xf numFmtId="164" fontId="9" fillId="0" borderId="27" xfId="0" applyNumberFormat="1" applyFont="1" applyBorder="1" applyAlignment="1">
      <alignment horizontal="center" vertical="center" wrapText="1"/>
    </xf>
    <xf numFmtId="164" fontId="9" fillId="0" borderId="36" xfId="0" applyNumberFormat="1" applyFont="1" applyBorder="1" applyAlignment="1">
      <alignment horizontal="center" vertical="center" wrapText="1"/>
    </xf>
    <xf numFmtId="14" fontId="7" fillId="0" borderId="3" xfId="0" applyNumberFormat="1" applyFont="1" applyBorder="1" applyAlignment="1">
      <alignment horizontal="center" vertical="center" wrapText="1"/>
    </xf>
    <xf numFmtId="14" fontId="7" fillId="0" borderId="18" xfId="0" applyNumberFormat="1" applyFont="1" applyBorder="1" applyAlignment="1">
      <alignment horizontal="center" vertical="center" wrapText="1"/>
    </xf>
    <xf numFmtId="164" fontId="9" fillId="0" borderId="19" xfId="0" applyNumberFormat="1" applyFont="1" applyBorder="1" applyAlignment="1">
      <alignment horizontal="center" vertical="center" wrapText="1"/>
    </xf>
    <xf numFmtId="164" fontId="9" fillId="0" borderId="4" xfId="0" applyNumberFormat="1" applyFont="1" applyBorder="1" applyAlignment="1">
      <alignment horizontal="center" vertical="center" wrapText="1"/>
    </xf>
    <xf numFmtId="0" fontId="0" fillId="1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  <color rgb="FF1C1C1C"/>
      <color rgb="FF00F26D"/>
      <color rgb="FFFF5050"/>
      <color rgb="FF28EC57"/>
      <color rgb="FFFF0066"/>
      <color rgb="FFFFFF99"/>
      <color rgb="FFFFFF66"/>
      <color rgb="FF1111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76D3D-DB86-4251-BA0D-FE9F32678B79}">
  <sheetPr>
    <pageSetUpPr fitToPage="1"/>
  </sheetPr>
  <dimension ref="B1:N52"/>
  <sheetViews>
    <sheetView showGridLines="0" topLeftCell="A25" zoomScale="90" zoomScaleNormal="90" workbookViewId="0">
      <selection activeCell="E15" sqref="E15"/>
    </sheetView>
  </sheetViews>
  <sheetFormatPr defaultColWidth="9.109375" defaultRowHeight="15" x14ac:dyDescent="0.3"/>
  <cols>
    <col min="1" max="1" width="1" style="52" customWidth="1"/>
    <col min="2" max="2" width="21.44140625" style="52" customWidth="1"/>
    <col min="3" max="3" width="36.6640625" style="52" customWidth="1"/>
    <col min="4" max="4" width="4.5546875" style="52" customWidth="1"/>
    <col min="5" max="5" width="12.6640625" style="52" customWidth="1"/>
    <col min="6" max="6" width="1.6640625" style="52" customWidth="1"/>
    <col min="7" max="7" width="5.6640625" style="52" customWidth="1"/>
    <col min="8" max="8" width="13.33203125" style="52" customWidth="1"/>
    <col min="9" max="9" width="13" style="52" customWidth="1"/>
    <col min="10" max="10" width="45.6640625" style="52" customWidth="1"/>
    <col min="11" max="11" width="4" style="52" customWidth="1"/>
    <col min="12" max="12" width="13.33203125" style="52" customWidth="1"/>
    <col min="13" max="13" width="9.109375" style="52"/>
    <col min="14" max="14" width="9.5546875" style="52" bestFit="1" customWidth="1"/>
    <col min="15" max="16384" width="9.109375" style="52"/>
  </cols>
  <sheetData>
    <row r="1" spans="2:12" ht="15.6" thickBot="1" x14ac:dyDescent="0.35"/>
    <row r="2" spans="2:12" ht="15.6" thickTop="1" x14ac:dyDescent="0.3">
      <c r="B2" s="299" t="s">
        <v>67</v>
      </c>
      <c r="C2" s="300"/>
      <c r="D2" s="300"/>
      <c r="E2" s="300"/>
      <c r="F2" s="300"/>
      <c r="G2" s="300"/>
      <c r="H2" s="300"/>
      <c r="I2" s="300"/>
      <c r="J2" s="300"/>
      <c r="K2" s="300"/>
      <c r="L2" s="53"/>
    </row>
    <row r="3" spans="2:12" s="48" customFormat="1" ht="15.6" x14ac:dyDescent="0.3">
      <c r="B3" s="301" t="s">
        <v>124</v>
      </c>
      <c r="C3" s="302"/>
      <c r="D3" s="302"/>
      <c r="E3" s="302"/>
      <c r="F3" s="302"/>
      <c r="G3" s="302"/>
      <c r="H3" s="302"/>
      <c r="I3" s="302"/>
      <c r="J3" s="302"/>
      <c r="K3" s="302"/>
      <c r="L3" s="303"/>
    </row>
    <row r="4" spans="2:12" s="124" customFormat="1" ht="15.75" customHeight="1" x14ac:dyDescent="0.35">
      <c r="B4" s="304" t="s">
        <v>68</v>
      </c>
      <c r="C4" s="305"/>
      <c r="D4" s="305"/>
      <c r="E4" s="305"/>
      <c r="F4" s="123"/>
      <c r="G4" s="306" t="s">
        <v>72</v>
      </c>
      <c r="H4" s="306"/>
      <c r="I4" s="306"/>
      <c r="J4" s="306"/>
      <c r="K4" s="306"/>
      <c r="L4" s="307"/>
    </row>
    <row r="5" spans="2:12" ht="12" customHeight="1" x14ac:dyDescent="0.3">
      <c r="B5" s="55"/>
      <c r="C5" s="56"/>
      <c r="D5" s="56"/>
      <c r="E5" s="56"/>
      <c r="F5" s="97"/>
      <c r="K5" s="54"/>
      <c r="L5" s="57"/>
    </row>
    <row r="6" spans="2:12" ht="15" customHeight="1" x14ac:dyDescent="0.35">
      <c r="B6" s="308" t="s">
        <v>69</v>
      </c>
      <c r="C6" s="309"/>
      <c r="D6" s="310"/>
      <c r="E6" s="54"/>
      <c r="F6" s="104"/>
      <c r="G6" s="311" t="s">
        <v>69</v>
      </c>
      <c r="H6" s="312"/>
      <c r="I6" s="312"/>
      <c r="J6" s="313"/>
      <c r="K6" s="54"/>
      <c r="L6" s="57"/>
    </row>
    <row r="7" spans="2:12" ht="6.75" customHeight="1" x14ac:dyDescent="0.3">
      <c r="B7" s="59"/>
      <c r="C7" s="60"/>
      <c r="D7" s="58"/>
      <c r="E7" s="54"/>
      <c r="F7" s="97"/>
      <c r="J7" s="61"/>
      <c r="K7" s="54"/>
      <c r="L7" s="62"/>
    </row>
    <row r="8" spans="2:12" x14ac:dyDescent="0.3">
      <c r="B8" s="274" t="s">
        <v>123</v>
      </c>
      <c r="C8" s="275"/>
      <c r="D8" s="161" t="s">
        <v>79</v>
      </c>
      <c r="E8" s="95">
        <v>338.57299999999998</v>
      </c>
      <c r="F8" s="98"/>
      <c r="G8" s="297" t="s">
        <v>123</v>
      </c>
      <c r="H8" s="298"/>
      <c r="I8" s="298"/>
      <c r="J8" s="298"/>
      <c r="K8" s="126" t="s">
        <v>79</v>
      </c>
      <c r="L8" s="64">
        <v>1893.6389999999999</v>
      </c>
    </row>
    <row r="9" spans="2:12" x14ac:dyDescent="0.3">
      <c r="B9" s="274" t="s">
        <v>191</v>
      </c>
      <c r="C9" s="275"/>
      <c r="D9" s="161" t="s">
        <v>79</v>
      </c>
      <c r="E9" s="95">
        <v>57</v>
      </c>
      <c r="F9" s="98"/>
      <c r="G9" s="278" t="s">
        <v>190</v>
      </c>
      <c r="H9" s="279"/>
      <c r="I9" s="279"/>
      <c r="J9" s="279"/>
      <c r="K9" s="127" t="s">
        <v>79</v>
      </c>
      <c r="L9" s="65">
        <v>787</v>
      </c>
    </row>
    <row r="10" spans="2:12" x14ac:dyDescent="0.3">
      <c r="B10" s="274"/>
      <c r="C10" s="275"/>
      <c r="D10" s="161"/>
      <c r="E10" s="95"/>
      <c r="F10" s="98"/>
      <c r="G10" s="278"/>
      <c r="H10" s="279"/>
      <c r="I10" s="279"/>
      <c r="J10" s="279"/>
      <c r="K10" s="127"/>
      <c r="L10" s="65"/>
    </row>
    <row r="11" spans="2:12" x14ac:dyDescent="0.3">
      <c r="B11" s="274"/>
      <c r="C11" s="275"/>
      <c r="D11" s="161"/>
      <c r="E11" s="95"/>
      <c r="F11" s="98"/>
      <c r="G11" s="278"/>
      <c r="H11" s="279"/>
      <c r="I11" s="279"/>
      <c r="J11" s="279"/>
      <c r="K11" s="127"/>
      <c r="L11" s="65"/>
    </row>
    <row r="12" spans="2:12" x14ac:dyDescent="0.3">
      <c r="B12" s="274" t="s">
        <v>175</v>
      </c>
      <c r="C12" s="275"/>
      <c r="D12" s="161" t="s">
        <v>79</v>
      </c>
      <c r="E12" s="95">
        <v>29.75</v>
      </c>
      <c r="F12" s="98"/>
      <c r="G12" s="278"/>
      <c r="H12" s="279"/>
      <c r="I12" s="279"/>
      <c r="J12" s="279"/>
      <c r="K12" s="127"/>
      <c r="L12" s="65"/>
    </row>
    <row r="13" spans="2:12" x14ac:dyDescent="0.3">
      <c r="B13" s="274"/>
      <c r="C13" s="275"/>
      <c r="D13" s="161"/>
      <c r="E13" s="95"/>
      <c r="F13" s="98"/>
      <c r="G13" s="278"/>
      <c r="H13" s="279"/>
      <c r="I13" s="279"/>
      <c r="J13" s="279"/>
      <c r="K13" s="127"/>
      <c r="L13" s="65"/>
    </row>
    <row r="14" spans="2:12" x14ac:dyDescent="0.3">
      <c r="B14" s="274"/>
      <c r="C14" s="275"/>
      <c r="D14" s="161"/>
      <c r="E14" s="95"/>
      <c r="F14" s="98"/>
      <c r="G14" s="278"/>
      <c r="H14" s="279"/>
      <c r="I14" s="279"/>
      <c r="J14" s="279"/>
      <c r="K14" s="127"/>
      <c r="L14" s="65"/>
    </row>
    <row r="15" spans="2:12" x14ac:dyDescent="0.3">
      <c r="B15" s="274"/>
      <c r="C15" s="275"/>
      <c r="D15" s="161"/>
      <c r="E15" s="95"/>
      <c r="F15" s="98"/>
      <c r="G15" s="278"/>
      <c r="H15" s="279"/>
      <c r="I15" s="279"/>
      <c r="J15" s="279"/>
      <c r="K15" s="127"/>
      <c r="L15" s="65"/>
    </row>
    <row r="16" spans="2:12" x14ac:dyDescent="0.3">
      <c r="B16" s="233"/>
      <c r="C16" s="162"/>
      <c r="D16" s="162"/>
      <c r="E16" s="63"/>
      <c r="F16" s="98"/>
      <c r="G16" s="278"/>
      <c r="H16" s="279"/>
      <c r="I16" s="279"/>
      <c r="J16" s="279"/>
      <c r="K16" s="127"/>
      <c r="L16" s="65"/>
    </row>
    <row r="17" spans="2:12" x14ac:dyDescent="0.3">
      <c r="B17" s="233"/>
      <c r="C17" s="162"/>
      <c r="D17" s="162"/>
      <c r="E17" s="63"/>
      <c r="F17" s="98"/>
      <c r="G17" s="162"/>
      <c r="H17" s="162"/>
      <c r="I17" s="162"/>
      <c r="J17" s="162"/>
      <c r="K17" s="211"/>
      <c r="L17" s="70"/>
    </row>
    <row r="18" spans="2:12" x14ac:dyDescent="0.3">
      <c r="B18" s="233"/>
      <c r="C18" s="162"/>
      <c r="D18" s="162"/>
      <c r="E18" s="63"/>
      <c r="F18" s="98"/>
      <c r="G18" s="162"/>
      <c r="H18" s="162"/>
      <c r="I18" s="162"/>
      <c r="J18" s="162"/>
      <c r="K18" s="211"/>
      <c r="L18" s="70"/>
    </row>
    <row r="19" spans="2:12" x14ac:dyDescent="0.3">
      <c r="B19" s="233"/>
      <c r="C19" s="162"/>
      <c r="D19" s="162"/>
      <c r="E19" s="63"/>
      <c r="F19" s="98"/>
      <c r="G19" s="162"/>
      <c r="H19" s="162"/>
      <c r="I19" s="162"/>
      <c r="J19" s="162"/>
      <c r="K19" s="211"/>
      <c r="L19" s="70"/>
    </row>
    <row r="20" spans="2:12" x14ac:dyDescent="0.3">
      <c r="B20" s="233"/>
      <c r="C20" s="162"/>
      <c r="D20" s="162"/>
      <c r="E20" s="63"/>
      <c r="F20" s="98"/>
      <c r="G20" s="162"/>
      <c r="H20" s="162"/>
      <c r="I20" s="162"/>
      <c r="J20" s="162"/>
      <c r="K20" s="211"/>
      <c r="L20" s="70"/>
    </row>
    <row r="21" spans="2:12" x14ac:dyDescent="0.3">
      <c r="B21" s="233"/>
      <c r="C21" s="162"/>
      <c r="D21" s="162"/>
      <c r="E21" s="63"/>
      <c r="F21" s="98"/>
      <c r="G21" s="162"/>
      <c r="H21" s="162"/>
      <c r="I21" s="162"/>
      <c r="J21" s="162"/>
      <c r="K21" s="211"/>
      <c r="L21" s="70"/>
    </row>
    <row r="22" spans="2:12" x14ac:dyDescent="0.3">
      <c r="B22" s="233"/>
      <c r="C22" s="162"/>
      <c r="D22" s="162"/>
      <c r="E22" s="63"/>
      <c r="F22" s="98"/>
      <c r="G22" s="162"/>
      <c r="H22" s="162"/>
      <c r="I22" s="162"/>
      <c r="J22" s="162"/>
      <c r="K22" s="211"/>
      <c r="L22" s="70"/>
    </row>
    <row r="23" spans="2:12" ht="12.75" customHeight="1" x14ac:dyDescent="0.3">
      <c r="B23" s="66"/>
      <c r="C23" s="67"/>
      <c r="D23" s="67"/>
      <c r="E23" s="54"/>
      <c r="F23" s="97"/>
      <c r="J23" s="67"/>
      <c r="K23" s="67"/>
      <c r="L23" s="68"/>
    </row>
    <row r="24" spans="2:12" s="48" customFormat="1" ht="16.5" customHeight="1" thickBot="1" x14ac:dyDescent="0.4">
      <c r="B24" s="282" t="s">
        <v>71</v>
      </c>
      <c r="C24" s="283"/>
      <c r="D24" s="50" t="s">
        <v>79</v>
      </c>
      <c r="E24" s="111">
        <f>SUM(E8:E23)</f>
        <v>425.32299999999998</v>
      </c>
      <c r="F24" s="103"/>
      <c r="G24" s="291" t="s">
        <v>71</v>
      </c>
      <c r="H24" s="292"/>
      <c r="I24" s="292"/>
      <c r="J24" s="293"/>
      <c r="K24" s="128" t="s">
        <v>79</v>
      </c>
      <c r="L24" s="110">
        <f>SUM(L8:L23)</f>
        <v>2680.6390000000001</v>
      </c>
    </row>
    <row r="25" spans="2:12" ht="15.6" thickTop="1" x14ac:dyDescent="0.3">
      <c r="B25" s="66"/>
      <c r="C25" s="67"/>
      <c r="D25" s="67"/>
      <c r="E25" s="54"/>
      <c r="F25" s="97"/>
      <c r="K25" s="63"/>
      <c r="L25" s="57"/>
    </row>
    <row r="26" spans="2:12" ht="17.25" customHeight="1" x14ac:dyDescent="0.3">
      <c r="B26" s="294" t="s">
        <v>70</v>
      </c>
      <c r="C26" s="295"/>
      <c r="D26" s="67"/>
      <c r="E26" s="54"/>
      <c r="F26" s="97"/>
      <c r="G26" s="295" t="s">
        <v>70</v>
      </c>
      <c r="H26" s="295"/>
      <c r="I26" s="295"/>
      <c r="J26" s="296"/>
      <c r="K26" s="67"/>
      <c r="L26" s="68"/>
    </row>
    <row r="27" spans="2:12" ht="6" customHeight="1" x14ac:dyDescent="0.3">
      <c r="B27" s="66"/>
      <c r="C27" s="67"/>
      <c r="D27" s="67"/>
      <c r="E27" s="54"/>
      <c r="F27" s="97"/>
      <c r="G27" s="96"/>
      <c r="H27" s="67"/>
      <c r="I27" s="67"/>
      <c r="J27" s="67"/>
      <c r="K27" s="67"/>
      <c r="L27" s="68"/>
    </row>
    <row r="28" spans="2:12" ht="17.100000000000001" customHeight="1" x14ac:dyDescent="0.3">
      <c r="B28" s="314" t="s">
        <v>180</v>
      </c>
      <c r="C28" s="315"/>
      <c r="D28" s="161" t="s">
        <v>79</v>
      </c>
      <c r="E28" s="95">
        <v>5</v>
      </c>
      <c r="F28" s="97"/>
      <c r="G28" s="316" t="s">
        <v>125</v>
      </c>
      <c r="H28" s="317"/>
      <c r="I28" s="317"/>
      <c r="J28" s="318"/>
      <c r="K28" s="131" t="s">
        <v>79</v>
      </c>
      <c r="L28" s="69">
        <v>324.47000000000003</v>
      </c>
    </row>
    <row r="29" spans="2:12" ht="17.100000000000001" customHeight="1" x14ac:dyDescent="0.3">
      <c r="B29" s="314"/>
      <c r="C29" s="315"/>
      <c r="D29" s="161" t="s">
        <v>79</v>
      </c>
      <c r="E29" s="95"/>
      <c r="F29" s="97"/>
      <c r="G29" s="316" t="s">
        <v>126</v>
      </c>
      <c r="H29" s="317"/>
      <c r="I29" s="317"/>
      <c r="J29" s="318"/>
      <c r="K29" s="131" t="s">
        <v>79</v>
      </c>
      <c r="L29" s="69">
        <v>325</v>
      </c>
    </row>
    <row r="30" spans="2:12" ht="17.100000000000001" customHeight="1" x14ac:dyDescent="0.3">
      <c r="B30" s="203"/>
      <c r="C30" s="204"/>
      <c r="D30" s="161"/>
      <c r="E30" s="95"/>
      <c r="F30" s="97"/>
      <c r="G30" s="316" t="s">
        <v>127</v>
      </c>
      <c r="H30" s="317"/>
      <c r="I30" s="317"/>
      <c r="J30" s="318"/>
      <c r="K30" s="131" t="s">
        <v>79</v>
      </c>
      <c r="L30" s="69">
        <v>324.47000000000003</v>
      </c>
    </row>
    <row r="31" spans="2:12" ht="17.100000000000001" customHeight="1" x14ac:dyDescent="0.3">
      <c r="B31" s="314"/>
      <c r="C31" s="315"/>
      <c r="D31" s="161" t="s">
        <v>79</v>
      </c>
      <c r="E31" s="95"/>
      <c r="F31" s="97"/>
      <c r="G31" s="316" t="s">
        <v>128</v>
      </c>
      <c r="H31" s="317"/>
      <c r="I31" s="317"/>
      <c r="J31" s="318"/>
      <c r="K31" s="131" t="s">
        <v>79</v>
      </c>
      <c r="L31" s="69">
        <v>324.47500000000002</v>
      </c>
    </row>
    <row r="32" spans="2:12" ht="17.100000000000001" customHeight="1" x14ac:dyDescent="0.3">
      <c r="B32" s="314"/>
      <c r="C32" s="315"/>
      <c r="D32" s="161" t="s">
        <v>79</v>
      </c>
      <c r="E32" s="95"/>
      <c r="F32" s="97"/>
      <c r="G32" s="316" t="s">
        <v>129</v>
      </c>
      <c r="H32" s="317"/>
      <c r="I32" s="317"/>
      <c r="J32" s="318"/>
      <c r="K32" s="131" t="s">
        <v>79</v>
      </c>
      <c r="L32" s="69">
        <v>75.319999999999993</v>
      </c>
    </row>
    <row r="33" spans="2:14" ht="17.100000000000001" customHeight="1" x14ac:dyDescent="0.3">
      <c r="B33" s="233"/>
      <c r="C33" s="162"/>
      <c r="D33" s="162"/>
      <c r="E33" s="63"/>
      <c r="F33" s="97"/>
      <c r="G33" s="316" t="s">
        <v>184</v>
      </c>
      <c r="H33" s="317"/>
      <c r="I33" s="317"/>
      <c r="J33" s="318"/>
      <c r="K33" s="131" t="s">
        <v>79</v>
      </c>
      <c r="L33" s="69">
        <v>81.78</v>
      </c>
    </row>
    <row r="34" spans="2:14" ht="17.100000000000001" customHeight="1" x14ac:dyDescent="0.3">
      <c r="B34" s="233"/>
      <c r="C34" s="162"/>
      <c r="D34" s="162"/>
      <c r="E34" s="63"/>
      <c r="F34" s="97"/>
      <c r="G34" s="234"/>
      <c r="H34" s="234"/>
      <c r="I34" s="234"/>
      <c r="J34" s="234"/>
      <c r="K34" s="211"/>
      <c r="L34" s="70"/>
    </row>
    <row r="35" spans="2:14" ht="17.100000000000001" customHeight="1" x14ac:dyDescent="0.3">
      <c r="B35" s="233"/>
      <c r="C35" s="162"/>
      <c r="D35" s="162"/>
      <c r="E35" s="63"/>
      <c r="F35" s="97"/>
      <c r="G35" s="234"/>
      <c r="H35" s="234"/>
      <c r="I35" s="234"/>
      <c r="J35" s="234"/>
      <c r="K35" s="211"/>
      <c r="L35" s="70"/>
    </row>
    <row r="36" spans="2:14" ht="17.100000000000001" customHeight="1" x14ac:dyDescent="0.3">
      <c r="B36" s="233"/>
      <c r="C36" s="162"/>
      <c r="D36" s="162"/>
      <c r="E36" s="63"/>
      <c r="F36" s="97"/>
      <c r="G36" s="234"/>
      <c r="H36" s="234"/>
      <c r="I36" s="234"/>
      <c r="J36" s="234"/>
      <c r="K36" s="211"/>
      <c r="L36" s="70"/>
    </row>
    <row r="37" spans="2:14" ht="17.100000000000001" customHeight="1" x14ac:dyDescent="0.3">
      <c r="B37" s="233"/>
      <c r="C37" s="162"/>
      <c r="D37" s="162"/>
      <c r="E37" s="63"/>
      <c r="F37" s="97"/>
      <c r="G37" s="234"/>
      <c r="H37" s="234"/>
      <c r="I37" s="234"/>
      <c r="J37" s="234"/>
      <c r="K37" s="211"/>
      <c r="L37" s="70"/>
    </row>
    <row r="38" spans="2:14" ht="17.100000000000001" customHeight="1" x14ac:dyDescent="0.3">
      <c r="B38" s="233"/>
      <c r="C38" s="162"/>
      <c r="D38" s="162"/>
      <c r="E38" s="63"/>
      <c r="F38" s="97"/>
      <c r="G38" s="234"/>
      <c r="H38" s="234"/>
      <c r="I38" s="234"/>
      <c r="J38" s="234"/>
      <c r="K38" s="211"/>
      <c r="L38" s="70"/>
    </row>
    <row r="39" spans="2:14" ht="17.100000000000001" customHeight="1" x14ac:dyDescent="0.3">
      <c r="B39" s="233"/>
      <c r="C39" s="162"/>
      <c r="D39" s="162"/>
      <c r="E39" s="63"/>
      <c r="F39" s="97"/>
      <c r="G39" s="234"/>
      <c r="H39" s="234"/>
      <c r="I39" s="234"/>
      <c r="J39" s="234"/>
      <c r="K39" s="211"/>
      <c r="L39" s="70"/>
    </row>
    <row r="40" spans="2:14" ht="8.25" customHeight="1" x14ac:dyDescent="0.3">
      <c r="B40" s="66"/>
      <c r="C40" s="67"/>
      <c r="D40" s="162"/>
      <c r="E40" s="63"/>
      <c r="F40" s="97"/>
      <c r="G40" s="162"/>
      <c r="H40" s="162"/>
      <c r="I40" s="162"/>
      <c r="J40" s="162"/>
      <c r="K40" s="162"/>
      <c r="L40" s="70"/>
    </row>
    <row r="41" spans="2:14" s="48" customFormat="1" ht="18.600000000000001" thickBot="1" x14ac:dyDescent="0.4">
      <c r="B41" s="286" t="s">
        <v>88</v>
      </c>
      <c r="C41" s="287"/>
      <c r="D41" s="51" t="s">
        <v>79</v>
      </c>
      <c r="E41" s="102">
        <v>5</v>
      </c>
      <c r="F41" s="101"/>
      <c r="G41" s="49" t="s">
        <v>83</v>
      </c>
      <c r="H41" s="49"/>
      <c r="I41" s="284" t="s">
        <v>84</v>
      </c>
      <c r="J41" s="283"/>
      <c r="K41" s="208" t="s">
        <v>79</v>
      </c>
      <c r="L41" s="209">
        <f>SUM(L28:L40)</f>
        <v>1455.5149999999999</v>
      </c>
      <c r="N41" s="240"/>
    </row>
    <row r="42" spans="2:14" ht="6.75" customHeight="1" thickTop="1" x14ac:dyDescent="0.3">
      <c r="B42" s="288"/>
      <c r="C42" s="289"/>
      <c r="D42" s="265"/>
      <c r="E42" s="290"/>
      <c r="F42" s="99"/>
      <c r="G42" s="162"/>
      <c r="H42" s="162"/>
      <c r="I42" s="162"/>
      <c r="J42" s="162"/>
      <c r="K42" s="265"/>
      <c r="L42" s="266"/>
    </row>
    <row r="43" spans="2:14" s="48" customFormat="1" ht="21.6" thickBot="1" x14ac:dyDescent="0.45">
      <c r="B43" s="282" t="s">
        <v>80</v>
      </c>
      <c r="C43" s="283"/>
      <c r="D43" s="206" t="s">
        <v>79</v>
      </c>
      <c r="E43" s="210">
        <f>E24-E41</f>
        <v>420.32299999999998</v>
      </c>
      <c r="F43" s="103"/>
      <c r="G43" s="49"/>
      <c r="H43" s="49"/>
      <c r="I43" s="284" t="s">
        <v>85</v>
      </c>
      <c r="J43" s="285"/>
      <c r="K43" s="130" t="s">
        <v>79</v>
      </c>
      <c r="L43" s="205">
        <f>L24-L41</f>
        <v>1225.1240000000003</v>
      </c>
    </row>
    <row r="44" spans="2:14" ht="13.5" customHeight="1" thickTop="1" thickBot="1" x14ac:dyDescent="0.35">
      <c r="B44" s="71"/>
      <c r="C44" s="72"/>
      <c r="D44" s="72"/>
      <c r="E44" s="73"/>
      <c r="F44" s="100"/>
      <c r="G44" s="74"/>
      <c r="H44" s="74"/>
      <c r="I44" s="75"/>
      <c r="J44" s="75"/>
      <c r="K44" s="75"/>
      <c r="L44" s="76"/>
    </row>
    <row r="45" spans="2:14" ht="7.5" customHeight="1" thickTop="1" thickBot="1" x14ac:dyDescent="0.35">
      <c r="B45" s="66"/>
      <c r="C45" s="67"/>
      <c r="D45" s="67"/>
      <c r="E45" s="54"/>
      <c r="F45" s="54"/>
      <c r="L45" s="57"/>
    </row>
    <row r="46" spans="2:14" ht="21.75" customHeight="1" thickBot="1" x14ac:dyDescent="0.35">
      <c r="B46" s="93"/>
      <c r="C46" s="89"/>
      <c r="D46" s="267"/>
      <c r="E46" s="268"/>
      <c r="F46" s="269" t="s">
        <v>140</v>
      </c>
      <c r="G46" s="269"/>
      <c r="H46" s="270"/>
      <c r="I46" s="162"/>
      <c r="J46" s="271" t="s">
        <v>77</v>
      </c>
      <c r="K46" s="272"/>
      <c r="L46" s="273"/>
    </row>
    <row r="47" spans="2:14" ht="18.75" customHeight="1" x14ac:dyDescent="0.3">
      <c r="B47" s="66" t="s">
        <v>81</v>
      </c>
      <c r="C47" s="90"/>
      <c r="D47" s="280"/>
      <c r="E47" s="281"/>
      <c r="F47" s="280" t="s">
        <v>82</v>
      </c>
      <c r="G47" s="280"/>
      <c r="H47" s="281"/>
      <c r="I47" s="67"/>
      <c r="J47" s="77" t="s">
        <v>86</v>
      </c>
      <c r="K47" s="78" t="s">
        <v>79</v>
      </c>
      <c r="L47" s="125">
        <f>E24+L24</f>
        <v>3105.962</v>
      </c>
    </row>
    <row r="48" spans="2:14" ht="20.25" customHeight="1" x14ac:dyDescent="0.3">
      <c r="B48" s="79"/>
      <c r="C48" s="91"/>
      <c r="E48" s="86"/>
      <c r="H48" s="86"/>
      <c r="J48" s="80" t="s">
        <v>84</v>
      </c>
      <c r="K48" s="81" t="s">
        <v>79</v>
      </c>
      <c r="L48" s="129">
        <f>E41+L41</f>
        <v>1460.5149999999999</v>
      </c>
    </row>
    <row r="49" spans="2:14" ht="24.75" customHeight="1" thickBot="1" x14ac:dyDescent="0.45">
      <c r="B49" s="94"/>
      <c r="C49" s="92"/>
      <c r="D49" s="87"/>
      <c r="E49" s="88"/>
      <c r="F49" s="87"/>
      <c r="G49" s="87"/>
      <c r="H49" s="88"/>
      <c r="J49" s="82" t="s">
        <v>87</v>
      </c>
      <c r="K49" s="109" t="s">
        <v>79</v>
      </c>
      <c r="L49" s="207">
        <f>L47-L48</f>
        <v>1645.4470000000001</v>
      </c>
      <c r="N49" s="241"/>
    </row>
    <row r="50" spans="2:14" x14ac:dyDescent="0.3">
      <c r="B50" s="79"/>
      <c r="L50" s="57"/>
    </row>
    <row r="51" spans="2:14" ht="15.6" thickBot="1" x14ac:dyDescent="0.35">
      <c r="B51" s="83"/>
      <c r="C51" s="84"/>
      <c r="D51" s="84"/>
      <c r="E51" s="84"/>
      <c r="F51" s="84"/>
      <c r="G51" s="84"/>
      <c r="H51" s="84"/>
      <c r="I51" s="84"/>
      <c r="J51" s="84"/>
      <c r="K51" s="84"/>
      <c r="L51" s="85"/>
    </row>
    <row r="52" spans="2:14" ht="15.6" thickTop="1" x14ac:dyDescent="0.3"/>
  </sheetData>
  <mergeCells count="49">
    <mergeCell ref="D47:E47"/>
    <mergeCell ref="F47:H47"/>
    <mergeCell ref="B15:C15"/>
    <mergeCell ref="G16:J16"/>
    <mergeCell ref="K42:L42"/>
    <mergeCell ref="B43:C43"/>
    <mergeCell ref="I43:J43"/>
    <mergeCell ref="D46:E46"/>
    <mergeCell ref="F46:H46"/>
    <mergeCell ref="J46:L46"/>
    <mergeCell ref="B32:C32"/>
    <mergeCell ref="G32:J32"/>
    <mergeCell ref="G33:J33"/>
    <mergeCell ref="B41:C41"/>
    <mergeCell ref="I41:J41"/>
    <mergeCell ref="B42:C42"/>
    <mergeCell ref="D42:E42"/>
    <mergeCell ref="B28:C28"/>
    <mergeCell ref="G28:J28"/>
    <mergeCell ref="B29:C29"/>
    <mergeCell ref="G29:J29"/>
    <mergeCell ref="G30:J30"/>
    <mergeCell ref="B31:C31"/>
    <mergeCell ref="G31:J31"/>
    <mergeCell ref="B26:C26"/>
    <mergeCell ref="G26:J26"/>
    <mergeCell ref="B11:C11"/>
    <mergeCell ref="G11:J11"/>
    <mergeCell ref="B12:C12"/>
    <mergeCell ref="G12:J12"/>
    <mergeCell ref="B13:C13"/>
    <mergeCell ref="G13:J13"/>
    <mergeCell ref="B14:C14"/>
    <mergeCell ref="G14:J14"/>
    <mergeCell ref="G15:J15"/>
    <mergeCell ref="B24:C24"/>
    <mergeCell ref="G24:J24"/>
    <mergeCell ref="B8:C8"/>
    <mergeCell ref="G8:J8"/>
    <mergeCell ref="B9:C9"/>
    <mergeCell ref="G9:J9"/>
    <mergeCell ref="B10:C10"/>
    <mergeCell ref="G10:J10"/>
    <mergeCell ref="B2:K2"/>
    <mergeCell ref="B3:L3"/>
    <mergeCell ref="B4:E4"/>
    <mergeCell ref="G4:L4"/>
    <mergeCell ref="B6:D6"/>
    <mergeCell ref="G6:J6"/>
  </mergeCells>
  <pageMargins left="0.1" right="0.1" top="0" bottom="0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87"/>
  <sheetViews>
    <sheetView showGridLines="0" topLeftCell="A31" zoomScale="90" zoomScaleNormal="90" workbookViewId="0">
      <selection activeCell="B66" sqref="B66"/>
    </sheetView>
  </sheetViews>
  <sheetFormatPr defaultColWidth="9.109375" defaultRowHeight="13.2" x14ac:dyDescent="0.25"/>
  <cols>
    <col min="1" max="1" width="4.109375" style="172" customWidth="1"/>
    <col min="2" max="2" width="20.33203125" style="1" customWidth="1"/>
    <col min="3" max="4" width="4.6640625" style="2" customWidth="1"/>
    <col min="5" max="5" width="5.33203125" style="2" customWidth="1"/>
    <col min="6" max="6" width="4.6640625" style="2" customWidth="1"/>
    <col min="7" max="7" width="5" style="2" customWidth="1"/>
    <col min="8" max="11" width="4.6640625" style="2" customWidth="1"/>
    <col min="12" max="12" width="5.109375" style="2" customWidth="1"/>
    <col min="13" max="13" width="5" style="2" customWidth="1"/>
    <col min="14" max="16" width="4.6640625" style="2" customWidth="1"/>
    <col min="17" max="17" width="5.33203125" style="2" customWidth="1"/>
    <col min="18" max="18" width="1.33203125" style="1" customWidth="1"/>
    <col min="19" max="19" width="6.88671875" style="2" customWidth="1"/>
    <col min="20" max="21" width="9.109375" style="1"/>
    <col min="22" max="22" width="12" style="1" customWidth="1"/>
    <col min="23" max="16384" width="9.109375" style="1"/>
  </cols>
  <sheetData>
    <row r="1" spans="1:19" ht="22.5" customHeight="1" thickBot="1" x14ac:dyDescent="0.3">
      <c r="A1" s="178" t="s">
        <v>57</v>
      </c>
      <c r="B1" s="179" t="s">
        <v>54</v>
      </c>
      <c r="C1" s="180" t="s">
        <v>17</v>
      </c>
      <c r="D1" s="180" t="s">
        <v>18</v>
      </c>
      <c r="E1" s="181" t="s">
        <v>19</v>
      </c>
      <c r="F1" s="181" t="s">
        <v>20</v>
      </c>
      <c r="G1" s="182" t="s">
        <v>21</v>
      </c>
      <c r="H1" s="181" t="s">
        <v>22</v>
      </c>
      <c r="I1" s="181" t="s">
        <v>23</v>
      </c>
      <c r="J1" s="181" t="s">
        <v>24</v>
      </c>
      <c r="K1" s="181" t="s">
        <v>25</v>
      </c>
      <c r="L1" s="181" t="s">
        <v>26</v>
      </c>
      <c r="M1" s="181" t="s">
        <v>27</v>
      </c>
      <c r="N1" s="181" t="s">
        <v>28</v>
      </c>
      <c r="O1" s="181" t="s">
        <v>17</v>
      </c>
      <c r="P1" s="183" t="s">
        <v>18</v>
      </c>
      <c r="Q1" s="181" t="s">
        <v>19</v>
      </c>
      <c r="S1" s="163" t="s">
        <v>0</v>
      </c>
    </row>
    <row r="2" spans="1:19" ht="18" customHeight="1" x14ac:dyDescent="0.25">
      <c r="A2" s="184">
        <v>1</v>
      </c>
      <c r="B2" s="185" t="s">
        <v>11</v>
      </c>
      <c r="C2" s="171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7"/>
      <c r="S2" s="200">
        <f>SUM(C2:R2)</f>
        <v>0</v>
      </c>
    </row>
    <row r="3" spans="1:19" ht="18" customHeight="1" x14ac:dyDescent="0.25">
      <c r="A3" s="188">
        <v>2</v>
      </c>
      <c r="B3" s="174" t="s">
        <v>100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70"/>
      <c r="S3" s="164">
        <f>SUM(C3:R3)</f>
        <v>0</v>
      </c>
    </row>
    <row r="4" spans="1:19" ht="18" customHeight="1" x14ac:dyDescent="0.25">
      <c r="A4" s="189">
        <v>3</v>
      </c>
      <c r="B4" s="174" t="s">
        <v>101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70"/>
      <c r="S4" s="164">
        <f t="shared" ref="S4:S43" si="0">SUM(C4:R4)</f>
        <v>0</v>
      </c>
    </row>
    <row r="5" spans="1:19" ht="18" customHeight="1" x14ac:dyDescent="0.25">
      <c r="A5" s="189">
        <v>4</v>
      </c>
      <c r="B5" s="175" t="s">
        <v>5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70"/>
      <c r="S5" s="164">
        <f t="shared" si="0"/>
        <v>0</v>
      </c>
    </row>
    <row r="6" spans="1:19" ht="18" customHeight="1" x14ac:dyDescent="0.25">
      <c r="A6" s="189">
        <v>5</v>
      </c>
      <c r="B6" s="175" t="s">
        <v>94</v>
      </c>
      <c r="C6" s="150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70"/>
      <c r="S6" s="164">
        <f t="shared" si="0"/>
        <v>0</v>
      </c>
    </row>
    <row r="7" spans="1:19" ht="18" customHeight="1" x14ac:dyDescent="0.25">
      <c r="A7" s="189">
        <v>6</v>
      </c>
      <c r="B7" s="175" t="s">
        <v>8</v>
      </c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70"/>
      <c r="S7" s="164">
        <f t="shared" si="0"/>
        <v>0</v>
      </c>
    </row>
    <row r="8" spans="1:19" ht="18" customHeight="1" x14ac:dyDescent="0.25">
      <c r="A8" s="189">
        <v>7</v>
      </c>
      <c r="B8" s="175" t="s">
        <v>30</v>
      </c>
      <c r="C8" s="150"/>
      <c r="D8" s="150"/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0"/>
      <c r="Q8" s="170"/>
      <c r="S8" s="164">
        <f t="shared" si="0"/>
        <v>0</v>
      </c>
    </row>
    <row r="9" spans="1:19" ht="18" customHeight="1" x14ac:dyDescent="0.25">
      <c r="A9" s="189">
        <v>8</v>
      </c>
      <c r="B9" s="175" t="s">
        <v>2</v>
      </c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70"/>
      <c r="S9" s="164">
        <f t="shared" si="0"/>
        <v>0</v>
      </c>
    </row>
    <row r="10" spans="1:19" ht="18" customHeight="1" x14ac:dyDescent="0.25">
      <c r="A10" s="189">
        <v>9</v>
      </c>
      <c r="B10" s="175" t="s">
        <v>13</v>
      </c>
      <c r="C10" s="150"/>
      <c r="D10" s="150"/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70"/>
      <c r="S10" s="164">
        <f t="shared" si="0"/>
        <v>0</v>
      </c>
    </row>
    <row r="11" spans="1:19" ht="18" customHeight="1" x14ac:dyDescent="0.25">
      <c r="A11" s="189">
        <v>10</v>
      </c>
      <c r="B11" s="175" t="s">
        <v>31</v>
      </c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70"/>
      <c r="S11" s="164">
        <f t="shared" si="0"/>
        <v>0</v>
      </c>
    </row>
    <row r="12" spans="1:19" ht="18" customHeight="1" x14ac:dyDescent="0.25">
      <c r="A12" s="189">
        <v>11</v>
      </c>
      <c r="B12" s="175" t="s">
        <v>32</v>
      </c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70"/>
      <c r="S12" s="164">
        <f t="shared" si="0"/>
        <v>0</v>
      </c>
    </row>
    <row r="13" spans="1:19" ht="18" customHeight="1" x14ac:dyDescent="0.25">
      <c r="A13" s="189">
        <v>12</v>
      </c>
      <c r="B13" s="175" t="s">
        <v>4</v>
      </c>
      <c r="C13" s="150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70"/>
      <c r="S13" s="164">
        <f t="shared" si="0"/>
        <v>0</v>
      </c>
    </row>
    <row r="14" spans="1:19" ht="18" customHeight="1" x14ac:dyDescent="0.25">
      <c r="A14" s="189">
        <v>13</v>
      </c>
      <c r="B14" s="175" t="s">
        <v>95</v>
      </c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70"/>
      <c r="S14" s="164">
        <f t="shared" si="0"/>
        <v>0</v>
      </c>
    </row>
    <row r="15" spans="1:19" ht="18" customHeight="1" x14ac:dyDescent="0.25">
      <c r="A15" s="189">
        <v>14</v>
      </c>
      <c r="B15" s="175" t="s">
        <v>92</v>
      </c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70"/>
      <c r="S15" s="164">
        <f t="shared" si="0"/>
        <v>0</v>
      </c>
    </row>
    <row r="16" spans="1:19" ht="18" customHeight="1" x14ac:dyDescent="0.25">
      <c r="A16" s="189">
        <v>15</v>
      </c>
      <c r="B16" s="175" t="s">
        <v>33</v>
      </c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70"/>
      <c r="S16" s="164">
        <f t="shared" si="0"/>
        <v>0</v>
      </c>
    </row>
    <row r="17" spans="1:20" ht="18" customHeight="1" x14ac:dyDescent="0.25">
      <c r="A17" s="189">
        <v>16</v>
      </c>
      <c r="B17" s="175" t="s">
        <v>102</v>
      </c>
      <c r="C17" s="150"/>
      <c r="D17" s="150"/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70"/>
      <c r="S17" s="164">
        <f t="shared" si="0"/>
        <v>0</v>
      </c>
    </row>
    <row r="18" spans="1:20" ht="18" customHeight="1" x14ac:dyDescent="0.25">
      <c r="A18" s="189">
        <v>17</v>
      </c>
      <c r="B18" s="175" t="s">
        <v>103</v>
      </c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0"/>
      <c r="N18" s="150"/>
      <c r="O18" s="150"/>
      <c r="P18" s="150"/>
      <c r="Q18" s="170"/>
      <c r="S18" s="164">
        <f t="shared" si="0"/>
        <v>0</v>
      </c>
    </row>
    <row r="19" spans="1:20" ht="21" customHeight="1" x14ac:dyDescent="0.25">
      <c r="A19" s="189">
        <v>18</v>
      </c>
      <c r="B19" s="175" t="s">
        <v>104</v>
      </c>
      <c r="C19" s="150"/>
      <c r="D19" s="150"/>
      <c r="E19" s="150"/>
      <c r="F19" s="150"/>
      <c r="G19" s="150"/>
      <c r="H19" s="150"/>
      <c r="I19" s="150"/>
      <c r="J19" s="150"/>
      <c r="K19" s="150"/>
      <c r="L19" s="150"/>
      <c r="M19" s="150"/>
      <c r="N19" s="150"/>
      <c r="O19" s="150"/>
      <c r="P19" s="150"/>
      <c r="Q19" s="170"/>
      <c r="S19" s="164">
        <f t="shared" si="0"/>
        <v>0</v>
      </c>
    </row>
    <row r="20" spans="1:20" ht="18" customHeight="1" x14ac:dyDescent="0.25">
      <c r="A20" s="189">
        <v>19</v>
      </c>
      <c r="B20" s="174" t="s">
        <v>34</v>
      </c>
      <c r="C20" s="150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70"/>
      <c r="S20" s="164">
        <f t="shared" si="0"/>
        <v>0</v>
      </c>
    </row>
    <row r="21" spans="1:20" ht="18" customHeight="1" x14ac:dyDescent="0.25">
      <c r="A21" s="189">
        <v>20</v>
      </c>
      <c r="B21" s="175" t="s">
        <v>105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70"/>
      <c r="S21" s="164">
        <f t="shared" si="0"/>
        <v>0</v>
      </c>
    </row>
    <row r="22" spans="1:20" ht="18" customHeight="1" x14ac:dyDescent="0.25">
      <c r="A22" s="189">
        <v>21</v>
      </c>
      <c r="B22" s="175" t="s">
        <v>106</v>
      </c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70"/>
      <c r="S22" s="164">
        <f t="shared" si="0"/>
        <v>0</v>
      </c>
    </row>
    <row r="23" spans="1:20" ht="18" customHeight="1" x14ac:dyDescent="0.25">
      <c r="A23" s="189">
        <v>22</v>
      </c>
      <c r="B23" s="175" t="s">
        <v>35</v>
      </c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70"/>
      <c r="S23" s="164">
        <f t="shared" si="0"/>
        <v>0</v>
      </c>
    </row>
    <row r="24" spans="1:20" ht="18" customHeight="1" x14ac:dyDescent="0.25">
      <c r="A24" s="189">
        <v>23</v>
      </c>
      <c r="B24" s="175" t="s">
        <v>36</v>
      </c>
      <c r="C24" s="150"/>
      <c r="D24" s="150"/>
      <c r="E24" s="150"/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70"/>
      <c r="S24" s="164">
        <f t="shared" si="0"/>
        <v>0</v>
      </c>
    </row>
    <row r="25" spans="1:20" ht="18" customHeight="1" x14ac:dyDescent="0.25">
      <c r="A25" s="189">
        <v>24</v>
      </c>
      <c r="B25" s="175" t="s">
        <v>37</v>
      </c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70"/>
      <c r="S25" s="164">
        <f t="shared" si="0"/>
        <v>0</v>
      </c>
    </row>
    <row r="26" spans="1:20" ht="18" customHeight="1" x14ac:dyDescent="0.25">
      <c r="A26" s="189">
        <v>25</v>
      </c>
      <c r="B26" s="175" t="s">
        <v>38</v>
      </c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0"/>
      <c r="N26" s="150"/>
      <c r="O26" s="150"/>
      <c r="P26" s="150"/>
      <c r="Q26" s="170"/>
      <c r="S26" s="164">
        <f t="shared" si="0"/>
        <v>0</v>
      </c>
    </row>
    <row r="27" spans="1:20" ht="18" customHeight="1" x14ac:dyDescent="0.25">
      <c r="A27" s="189">
        <v>26</v>
      </c>
      <c r="B27" s="175" t="s">
        <v>107</v>
      </c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0"/>
      <c r="N27" s="150"/>
      <c r="O27" s="150"/>
      <c r="P27" s="150"/>
      <c r="Q27" s="170"/>
      <c r="S27" s="164">
        <f t="shared" si="0"/>
        <v>0</v>
      </c>
    </row>
    <row r="28" spans="1:20" ht="18" customHeight="1" x14ac:dyDescent="0.25">
      <c r="A28" s="189">
        <v>27</v>
      </c>
      <c r="B28" s="175" t="s">
        <v>108</v>
      </c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70"/>
      <c r="S28" s="164">
        <f t="shared" si="0"/>
        <v>0</v>
      </c>
      <c r="T28" s="160"/>
    </row>
    <row r="29" spans="1:20" ht="18" customHeight="1" x14ac:dyDescent="0.25">
      <c r="A29" s="189">
        <v>28</v>
      </c>
      <c r="B29" s="175" t="s">
        <v>39</v>
      </c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70"/>
      <c r="S29" s="164">
        <f t="shared" si="0"/>
        <v>0</v>
      </c>
    </row>
    <row r="30" spans="1:20" ht="18" customHeight="1" x14ac:dyDescent="0.25">
      <c r="A30" s="189">
        <v>29</v>
      </c>
      <c r="B30" s="175" t="s">
        <v>40</v>
      </c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70"/>
      <c r="S30" s="164">
        <f t="shared" si="0"/>
        <v>0</v>
      </c>
    </row>
    <row r="31" spans="1:20" ht="18" customHeight="1" x14ac:dyDescent="0.25">
      <c r="A31" s="189">
        <v>30</v>
      </c>
      <c r="B31" s="174" t="s">
        <v>109</v>
      </c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70"/>
      <c r="S31" s="164">
        <f t="shared" si="0"/>
        <v>0</v>
      </c>
    </row>
    <row r="32" spans="1:20" ht="18" customHeight="1" x14ac:dyDescent="0.25">
      <c r="A32" s="189">
        <v>31</v>
      </c>
      <c r="B32" s="175" t="s">
        <v>41</v>
      </c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70"/>
      <c r="S32" s="164">
        <f t="shared" si="0"/>
        <v>0</v>
      </c>
    </row>
    <row r="33" spans="1:19" ht="18" customHeight="1" x14ac:dyDescent="0.25">
      <c r="A33" s="189">
        <v>32</v>
      </c>
      <c r="B33" s="174" t="s">
        <v>42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70"/>
      <c r="S33" s="164">
        <f t="shared" si="0"/>
        <v>0</v>
      </c>
    </row>
    <row r="34" spans="1:19" ht="18" customHeight="1" x14ac:dyDescent="0.25">
      <c r="A34" s="189">
        <v>33</v>
      </c>
      <c r="B34" s="175" t="s">
        <v>96</v>
      </c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70"/>
      <c r="S34" s="164">
        <f t="shared" si="0"/>
        <v>0</v>
      </c>
    </row>
    <row r="35" spans="1:19" ht="18" customHeight="1" x14ac:dyDescent="0.25">
      <c r="A35" s="189">
        <v>34</v>
      </c>
      <c r="B35" s="174" t="s">
        <v>110</v>
      </c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70"/>
      <c r="S35" s="164">
        <f t="shared" si="0"/>
        <v>0</v>
      </c>
    </row>
    <row r="36" spans="1:19" ht="18" customHeight="1" x14ac:dyDescent="0.25">
      <c r="A36" s="189">
        <v>35</v>
      </c>
      <c r="B36" s="175" t="s">
        <v>98</v>
      </c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0"/>
      <c r="N36" s="150"/>
      <c r="O36" s="150"/>
      <c r="P36" s="150"/>
      <c r="Q36" s="170"/>
      <c r="S36" s="164">
        <f t="shared" si="0"/>
        <v>0</v>
      </c>
    </row>
    <row r="37" spans="1:19" ht="18" customHeight="1" x14ac:dyDescent="0.25">
      <c r="A37" s="189">
        <v>36</v>
      </c>
      <c r="B37" s="174" t="s">
        <v>10</v>
      </c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0"/>
      <c r="N37" s="150"/>
      <c r="O37" s="150"/>
      <c r="P37" s="150"/>
      <c r="Q37" s="170"/>
      <c r="S37" s="164">
        <f t="shared" si="0"/>
        <v>0</v>
      </c>
    </row>
    <row r="38" spans="1:19" ht="18" customHeight="1" x14ac:dyDescent="0.25">
      <c r="A38" s="189">
        <v>37</v>
      </c>
      <c r="B38" s="175" t="s">
        <v>3</v>
      </c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70"/>
      <c r="S38" s="164">
        <f t="shared" si="0"/>
        <v>0</v>
      </c>
    </row>
    <row r="39" spans="1:19" ht="18" customHeight="1" x14ac:dyDescent="0.25">
      <c r="A39" s="189">
        <v>38</v>
      </c>
      <c r="B39" s="175" t="s">
        <v>111</v>
      </c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70"/>
      <c r="S39" s="164">
        <f t="shared" si="0"/>
        <v>0</v>
      </c>
    </row>
    <row r="40" spans="1:19" ht="18" customHeight="1" x14ac:dyDescent="0.25">
      <c r="A40" s="189">
        <v>39</v>
      </c>
      <c r="B40" s="175" t="s">
        <v>43</v>
      </c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70"/>
      <c r="S40" s="164">
        <f t="shared" si="0"/>
        <v>0</v>
      </c>
    </row>
    <row r="41" spans="1:19" ht="18" customHeight="1" x14ac:dyDescent="0.25">
      <c r="A41" s="189">
        <v>40</v>
      </c>
      <c r="B41" s="174" t="s">
        <v>9</v>
      </c>
      <c r="C41" s="150"/>
      <c r="D41" s="150"/>
      <c r="E41" s="150"/>
      <c r="F41" s="150"/>
      <c r="G41" s="150"/>
      <c r="H41" s="150"/>
      <c r="I41" s="150"/>
      <c r="J41" s="150"/>
      <c r="K41" s="150"/>
      <c r="L41" s="150"/>
      <c r="M41" s="150"/>
      <c r="N41" s="150"/>
      <c r="O41" s="150"/>
      <c r="P41" s="150"/>
      <c r="Q41" s="170"/>
      <c r="S41" s="164">
        <f t="shared" si="0"/>
        <v>0</v>
      </c>
    </row>
    <row r="42" spans="1:19" ht="18" customHeight="1" x14ac:dyDescent="0.25">
      <c r="A42" s="189">
        <v>41</v>
      </c>
      <c r="B42" s="175" t="s">
        <v>44</v>
      </c>
      <c r="C42" s="150"/>
      <c r="D42" s="150"/>
      <c r="E42" s="150"/>
      <c r="F42" s="150"/>
      <c r="G42" s="150"/>
      <c r="H42" s="150"/>
      <c r="I42" s="150"/>
      <c r="J42" s="150"/>
      <c r="K42" s="150"/>
      <c r="L42" s="150"/>
      <c r="M42" s="150"/>
      <c r="N42" s="150"/>
      <c r="O42" s="150"/>
      <c r="P42" s="150"/>
      <c r="Q42" s="170"/>
      <c r="S42" s="164">
        <f t="shared" si="0"/>
        <v>0</v>
      </c>
    </row>
    <row r="43" spans="1:19" ht="18" customHeight="1" thickBot="1" x14ac:dyDescent="0.3">
      <c r="A43" s="189">
        <v>42</v>
      </c>
      <c r="B43" s="175" t="s">
        <v>45</v>
      </c>
      <c r="C43" s="150"/>
      <c r="D43" s="150"/>
      <c r="E43" s="150"/>
      <c r="F43" s="150"/>
      <c r="G43" s="150"/>
      <c r="H43" s="150"/>
      <c r="I43" s="150"/>
      <c r="J43" s="150"/>
      <c r="K43" s="150"/>
      <c r="L43" s="150"/>
      <c r="M43" s="150"/>
      <c r="N43" s="150"/>
      <c r="O43" s="150"/>
      <c r="P43" s="150"/>
      <c r="Q43" s="170"/>
      <c r="S43" s="201">
        <f t="shared" si="0"/>
        <v>0</v>
      </c>
    </row>
    <row r="44" spans="1:19" ht="13.8" thickBot="1" x14ac:dyDescent="0.3"/>
    <row r="45" spans="1:19" ht="15.9" customHeight="1" thickBot="1" x14ac:dyDescent="0.3">
      <c r="A45" s="192" t="s">
        <v>57</v>
      </c>
      <c r="B45" s="193" t="s">
        <v>54</v>
      </c>
      <c r="C45" s="194" t="s">
        <v>17</v>
      </c>
      <c r="D45" s="180" t="s">
        <v>18</v>
      </c>
      <c r="E45" s="181" t="s">
        <v>19</v>
      </c>
      <c r="F45" s="181" t="s">
        <v>20</v>
      </c>
      <c r="G45" s="182" t="s">
        <v>21</v>
      </c>
      <c r="H45" s="181" t="s">
        <v>22</v>
      </c>
      <c r="I45" s="181" t="s">
        <v>23</v>
      </c>
      <c r="J45" s="181" t="s">
        <v>24</v>
      </c>
      <c r="K45" s="181" t="s">
        <v>25</v>
      </c>
      <c r="L45" s="181" t="s">
        <v>26</v>
      </c>
      <c r="M45" s="181" t="s">
        <v>27</v>
      </c>
      <c r="N45" s="195" t="s">
        <v>28</v>
      </c>
      <c r="O45" s="196" t="s">
        <v>17</v>
      </c>
      <c r="P45" s="181" t="s">
        <v>18</v>
      </c>
      <c r="Q45" s="197" t="s">
        <v>19</v>
      </c>
      <c r="S45" s="200">
        <f t="shared" ref="S45:S86" si="1">SUM(C45:R45)</f>
        <v>0</v>
      </c>
    </row>
    <row r="46" spans="1:19" ht="18" customHeight="1" x14ac:dyDescent="0.25">
      <c r="A46" s="198">
        <v>43</v>
      </c>
      <c r="B46" s="199" t="s">
        <v>46</v>
      </c>
      <c r="C46" s="186"/>
      <c r="D46" s="186"/>
      <c r="E46" s="186"/>
      <c r="F46" s="186"/>
      <c r="G46" s="186"/>
      <c r="H46" s="186"/>
      <c r="I46" s="186"/>
      <c r="J46" s="186"/>
      <c r="K46" s="186"/>
      <c r="L46" s="186"/>
      <c r="M46" s="186"/>
      <c r="N46" s="186"/>
      <c r="O46" s="186"/>
      <c r="P46" s="186"/>
      <c r="Q46" s="187"/>
      <c r="S46" s="164">
        <f t="shared" si="1"/>
        <v>0</v>
      </c>
    </row>
    <row r="47" spans="1:19" ht="18" customHeight="1" x14ac:dyDescent="0.25">
      <c r="A47" s="189">
        <v>44</v>
      </c>
      <c r="B47" s="175" t="s">
        <v>14</v>
      </c>
      <c r="C47" s="150"/>
      <c r="D47" s="150"/>
      <c r="E47" s="150"/>
      <c r="F47" s="150"/>
      <c r="G47" s="150"/>
      <c r="H47" s="150"/>
      <c r="I47" s="150"/>
      <c r="J47" s="150"/>
      <c r="K47" s="150"/>
      <c r="L47" s="150"/>
      <c r="M47" s="150"/>
      <c r="N47" s="150"/>
      <c r="O47" s="150"/>
      <c r="P47" s="150"/>
      <c r="Q47" s="170"/>
      <c r="S47" s="164">
        <f t="shared" si="1"/>
        <v>0</v>
      </c>
    </row>
    <row r="48" spans="1:19" ht="18" customHeight="1" x14ac:dyDescent="0.25">
      <c r="A48" s="189">
        <v>45</v>
      </c>
      <c r="B48" s="175" t="s">
        <v>112</v>
      </c>
      <c r="C48" s="150"/>
      <c r="D48" s="150"/>
      <c r="E48" s="150"/>
      <c r="F48" s="150"/>
      <c r="G48" s="150"/>
      <c r="H48" s="150"/>
      <c r="I48" s="150"/>
      <c r="J48" s="150"/>
      <c r="K48" s="150"/>
      <c r="L48" s="150"/>
      <c r="M48" s="150"/>
      <c r="N48" s="150"/>
      <c r="O48" s="150"/>
      <c r="P48" s="150"/>
      <c r="Q48" s="170"/>
      <c r="S48" s="164">
        <f t="shared" si="1"/>
        <v>0</v>
      </c>
    </row>
    <row r="49" spans="1:19" ht="18" customHeight="1" x14ac:dyDescent="0.25">
      <c r="A49" s="189">
        <v>46</v>
      </c>
      <c r="B49" s="175" t="s">
        <v>12</v>
      </c>
      <c r="C49" s="150"/>
      <c r="D49" s="150"/>
      <c r="E49" s="150"/>
      <c r="F49" s="150"/>
      <c r="G49" s="150"/>
      <c r="H49" s="150"/>
      <c r="I49" s="150"/>
      <c r="J49" s="150"/>
      <c r="K49" s="150"/>
      <c r="L49" s="150"/>
      <c r="M49" s="150"/>
      <c r="N49" s="150"/>
      <c r="O49" s="150"/>
      <c r="P49" s="150"/>
      <c r="Q49" s="170"/>
      <c r="S49" s="164">
        <f t="shared" si="1"/>
        <v>0</v>
      </c>
    </row>
    <row r="50" spans="1:19" ht="18" customHeight="1" x14ac:dyDescent="0.25">
      <c r="A50" s="189">
        <v>47</v>
      </c>
      <c r="B50" s="175" t="s">
        <v>99</v>
      </c>
      <c r="C50" s="150"/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70"/>
      <c r="S50" s="164">
        <f t="shared" si="1"/>
        <v>0</v>
      </c>
    </row>
    <row r="51" spans="1:19" ht="18" customHeight="1" x14ac:dyDescent="0.25">
      <c r="A51" s="189">
        <v>48</v>
      </c>
      <c r="B51" s="175" t="s">
        <v>47</v>
      </c>
      <c r="C51" s="150"/>
      <c r="D51" s="150"/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70"/>
      <c r="S51" s="164">
        <f t="shared" si="1"/>
        <v>0</v>
      </c>
    </row>
    <row r="52" spans="1:19" ht="18" customHeight="1" x14ac:dyDescent="0.25">
      <c r="A52" s="189">
        <v>49</v>
      </c>
      <c r="B52" s="175" t="s">
        <v>113</v>
      </c>
      <c r="C52" s="150"/>
      <c r="D52" s="150"/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70"/>
      <c r="S52" s="164">
        <f t="shared" si="1"/>
        <v>0</v>
      </c>
    </row>
    <row r="53" spans="1:19" ht="17.100000000000001" customHeight="1" x14ac:dyDescent="0.25">
      <c r="A53" s="189">
        <v>50</v>
      </c>
      <c r="B53" s="175" t="s">
        <v>1</v>
      </c>
      <c r="C53" s="150"/>
      <c r="D53" s="150"/>
      <c r="E53" s="150"/>
      <c r="F53" s="150"/>
      <c r="G53" s="150"/>
      <c r="H53" s="150"/>
      <c r="I53" s="150"/>
      <c r="J53" s="150"/>
      <c r="K53" s="150"/>
      <c r="L53" s="150"/>
      <c r="M53" s="150"/>
      <c r="N53" s="150"/>
      <c r="O53" s="150"/>
      <c r="P53" s="150"/>
      <c r="Q53" s="170"/>
      <c r="S53" s="164">
        <f t="shared" si="1"/>
        <v>0</v>
      </c>
    </row>
    <row r="54" spans="1:19" ht="17.100000000000001" customHeight="1" x14ac:dyDescent="0.25">
      <c r="A54" s="189">
        <v>51</v>
      </c>
      <c r="B54" s="175" t="s">
        <v>6</v>
      </c>
      <c r="C54" s="150"/>
      <c r="D54" s="150"/>
      <c r="E54" s="150"/>
      <c r="F54" s="150"/>
      <c r="G54" s="150"/>
      <c r="H54" s="150"/>
      <c r="I54" s="150"/>
      <c r="J54" s="150"/>
      <c r="K54" s="150"/>
      <c r="L54" s="150"/>
      <c r="M54" s="150"/>
      <c r="N54" s="150"/>
      <c r="O54" s="150"/>
      <c r="P54" s="150"/>
      <c r="Q54" s="170"/>
      <c r="S54" s="164">
        <f t="shared" si="1"/>
        <v>0</v>
      </c>
    </row>
    <row r="55" spans="1:19" ht="17.100000000000001" customHeight="1" x14ac:dyDescent="0.25">
      <c r="A55" s="189">
        <v>52</v>
      </c>
      <c r="B55" s="175" t="s">
        <v>114</v>
      </c>
      <c r="C55" s="150"/>
      <c r="D55" s="150"/>
      <c r="E55" s="150"/>
      <c r="F55" s="150"/>
      <c r="G55" s="150"/>
      <c r="H55" s="150"/>
      <c r="I55" s="150"/>
      <c r="J55" s="150"/>
      <c r="K55" s="150"/>
      <c r="L55" s="150"/>
      <c r="M55" s="150"/>
      <c r="N55" s="150"/>
      <c r="O55" s="150"/>
      <c r="P55" s="150"/>
      <c r="Q55" s="170"/>
      <c r="S55" s="164">
        <f t="shared" si="1"/>
        <v>0</v>
      </c>
    </row>
    <row r="56" spans="1:19" ht="17.100000000000001" customHeight="1" x14ac:dyDescent="0.25">
      <c r="A56" s="189">
        <v>53</v>
      </c>
      <c r="B56" s="175" t="s">
        <v>91</v>
      </c>
      <c r="C56" s="150"/>
      <c r="D56" s="150"/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50"/>
      <c r="Q56" s="170"/>
      <c r="S56" s="164">
        <f t="shared" si="1"/>
        <v>0</v>
      </c>
    </row>
    <row r="57" spans="1:19" ht="15" customHeight="1" x14ac:dyDescent="0.25">
      <c r="A57" s="189">
        <v>54</v>
      </c>
      <c r="B57" s="175" t="s">
        <v>115</v>
      </c>
      <c r="C57" s="150"/>
      <c r="D57" s="150"/>
      <c r="E57" s="150"/>
      <c r="F57" s="150"/>
      <c r="G57" s="150"/>
      <c r="H57" s="150"/>
      <c r="I57" s="150"/>
      <c r="J57" s="150"/>
      <c r="K57" s="150"/>
      <c r="L57" s="150"/>
      <c r="M57" s="150"/>
      <c r="N57" s="150"/>
      <c r="O57" s="150"/>
      <c r="P57" s="150"/>
      <c r="Q57" s="170"/>
      <c r="S57" s="164">
        <f t="shared" si="1"/>
        <v>0</v>
      </c>
    </row>
    <row r="58" spans="1:19" ht="17.100000000000001" customHeight="1" x14ac:dyDescent="0.25">
      <c r="A58" s="189">
        <v>55</v>
      </c>
      <c r="B58" s="175" t="s">
        <v>48</v>
      </c>
      <c r="C58" s="150"/>
      <c r="D58" s="150"/>
      <c r="E58" s="150"/>
      <c r="F58" s="150"/>
      <c r="G58" s="150"/>
      <c r="H58" s="150"/>
      <c r="I58" s="150"/>
      <c r="J58" s="150"/>
      <c r="K58" s="150"/>
      <c r="L58" s="150"/>
      <c r="M58" s="150"/>
      <c r="N58" s="150"/>
      <c r="O58" s="150"/>
      <c r="P58" s="150"/>
      <c r="Q58" s="170"/>
      <c r="S58" s="164">
        <f t="shared" si="1"/>
        <v>0</v>
      </c>
    </row>
    <row r="59" spans="1:19" ht="17.100000000000001" customHeight="1" x14ac:dyDescent="0.25">
      <c r="A59" s="189">
        <v>56</v>
      </c>
      <c r="B59" s="175" t="s">
        <v>116</v>
      </c>
      <c r="C59" s="150"/>
      <c r="D59" s="150"/>
      <c r="E59" s="150"/>
      <c r="F59" s="150"/>
      <c r="G59" s="150"/>
      <c r="H59" s="150"/>
      <c r="I59" s="150"/>
      <c r="J59" s="150"/>
      <c r="K59" s="150"/>
      <c r="L59" s="150"/>
      <c r="M59" s="150"/>
      <c r="N59" s="150"/>
      <c r="O59" s="150"/>
      <c r="P59" s="150"/>
      <c r="Q59" s="170"/>
      <c r="S59" s="164">
        <f t="shared" si="1"/>
        <v>0</v>
      </c>
    </row>
    <row r="60" spans="1:19" ht="17.100000000000001" customHeight="1" x14ac:dyDescent="0.25">
      <c r="A60" s="189">
        <v>57</v>
      </c>
      <c r="B60" s="175" t="s">
        <v>49</v>
      </c>
      <c r="C60" s="150"/>
      <c r="D60" s="150"/>
      <c r="E60" s="150"/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150"/>
      <c r="Q60" s="170"/>
      <c r="S60" s="164">
        <f t="shared" si="1"/>
        <v>0</v>
      </c>
    </row>
    <row r="61" spans="1:19" ht="17.100000000000001" customHeight="1" x14ac:dyDescent="0.25">
      <c r="A61" s="189">
        <v>58</v>
      </c>
      <c r="B61" s="175" t="s">
        <v>56</v>
      </c>
      <c r="C61" s="150"/>
      <c r="D61" s="150"/>
      <c r="E61" s="150"/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70"/>
      <c r="S61" s="164">
        <f t="shared" si="1"/>
        <v>0</v>
      </c>
    </row>
    <row r="62" spans="1:19" ht="17.100000000000001" customHeight="1" x14ac:dyDescent="0.25">
      <c r="A62" s="189">
        <v>59</v>
      </c>
      <c r="B62" s="175" t="s">
        <v>16</v>
      </c>
      <c r="C62" s="150"/>
      <c r="D62" s="150"/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70"/>
      <c r="S62" s="164">
        <f t="shared" si="1"/>
        <v>0</v>
      </c>
    </row>
    <row r="63" spans="1:19" ht="17.100000000000001" customHeight="1" x14ac:dyDescent="0.25">
      <c r="A63" s="189">
        <v>60</v>
      </c>
      <c r="B63" s="175" t="s">
        <v>97</v>
      </c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70"/>
      <c r="S63" s="164">
        <f t="shared" si="1"/>
        <v>0</v>
      </c>
    </row>
    <row r="64" spans="1:19" ht="17.100000000000001" customHeight="1" x14ac:dyDescent="0.25">
      <c r="A64" s="189">
        <v>61</v>
      </c>
      <c r="B64" s="175" t="s">
        <v>50</v>
      </c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70"/>
      <c r="S64" s="164">
        <f t="shared" si="1"/>
        <v>0</v>
      </c>
    </row>
    <row r="65" spans="1:19" ht="17.100000000000001" customHeight="1" x14ac:dyDescent="0.25">
      <c r="A65" s="189">
        <v>62</v>
      </c>
      <c r="B65" s="175" t="s">
        <v>93</v>
      </c>
      <c r="C65" s="150"/>
      <c r="D65" s="150"/>
      <c r="E65" s="150"/>
      <c r="F65" s="150"/>
      <c r="G65" s="150"/>
      <c r="H65" s="150"/>
      <c r="I65" s="150"/>
      <c r="J65" s="150"/>
      <c r="K65" s="150"/>
      <c r="L65" s="150"/>
      <c r="M65" s="150"/>
      <c r="N65" s="150"/>
      <c r="O65" s="150"/>
      <c r="P65" s="150"/>
      <c r="Q65" s="170"/>
      <c r="S65" s="164">
        <f t="shared" si="1"/>
        <v>0</v>
      </c>
    </row>
    <row r="66" spans="1:19" ht="17.100000000000001" customHeight="1" x14ac:dyDescent="0.25">
      <c r="A66" s="189">
        <v>63</v>
      </c>
      <c r="B66" s="175" t="s">
        <v>117</v>
      </c>
      <c r="C66" s="150"/>
      <c r="D66" s="150"/>
      <c r="E66" s="150"/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70"/>
      <c r="S66" s="164">
        <f t="shared" si="1"/>
        <v>0</v>
      </c>
    </row>
    <row r="67" spans="1:19" ht="17.100000000000001" customHeight="1" x14ac:dyDescent="0.25">
      <c r="A67" s="189">
        <v>64</v>
      </c>
      <c r="B67" s="175" t="s">
        <v>15</v>
      </c>
      <c r="C67" s="150"/>
      <c r="D67" s="150"/>
      <c r="E67" s="150"/>
      <c r="F67" s="150"/>
      <c r="G67" s="150"/>
      <c r="H67" s="150"/>
      <c r="I67" s="150"/>
      <c r="J67" s="150"/>
      <c r="K67" s="150"/>
      <c r="L67" s="150"/>
      <c r="M67" s="150"/>
      <c r="N67" s="150"/>
      <c r="O67" s="150"/>
      <c r="P67" s="150"/>
      <c r="Q67" s="170"/>
      <c r="S67" s="164">
        <f t="shared" si="1"/>
        <v>0</v>
      </c>
    </row>
    <row r="68" spans="1:19" ht="17.100000000000001" customHeight="1" x14ac:dyDescent="0.25">
      <c r="A68" s="189">
        <v>65</v>
      </c>
      <c r="B68" s="175" t="s">
        <v>118</v>
      </c>
      <c r="C68" s="150"/>
      <c r="D68" s="150"/>
      <c r="E68" s="150"/>
      <c r="F68" s="150"/>
      <c r="G68" s="150"/>
      <c r="H68" s="150"/>
      <c r="I68" s="150"/>
      <c r="J68" s="150"/>
      <c r="K68" s="150"/>
      <c r="L68" s="150"/>
      <c r="M68" s="150"/>
      <c r="N68" s="150"/>
      <c r="O68" s="150"/>
      <c r="P68" s="150"/>
      <c r="Q68" s="170"/>
      <c r="S68" s="164">
        <f t="shared" si="1"/>
        <v>0</v>
      </c>
    </row>
    <row r="69" spans="1:19" ht="17.100000000000001" customHeight="1" x14ac:dyDescent="0.25">
      <c r="A69" s="189">
        <v>66</v>
      </c>
      <c r="B69" s="175" t="s">
        <v>58</v>
      </c>
      <c r="C69" s="150"/>
      <c r="D69" s="150"/>
      <c r="E69" s="150"/>
      <c r="F69" s="150"/>
      <c r="G69" s="150"/>
      <c r="H69" s="150"/>
      <c r="I69" s="150"/>
      <c r="J69" s="150"/>
      <c r="K69" s="150"/>
      <c r="L69" s="150"/>
      <c r="M69" s="150"/>
      <c r="N69" s="150"/>
      <c r="O69" s="150"/>
      <c r="P69" s="150"/>
      <c r="Q69" s="170"/>
      <c r="S69" s="164">
        <f t="shared" si="1"/>
        <v>0</v>
      </c>
    </row>
    <row r="70" spans="1:19" ht="17.100000000000001" customHeight="1" x14ac:dyDescent="0.25">
      <c r="A70" s="189">
        <v>67</v>
      </c>
      <c r="B70" s="175" t="s">
        <v>7</v>
      </c>
      <c r="C70" s="150"/>
      <c r="D70" s="150"/>
      <c r="E70" s="150"/>
      <c r="F70" s="150"/>
      <c r="G70" s="150"/>
      <c r="H70" s="150"/>
      <c r="I70" s="150"/>
      <c r="J70" s="150"/>
      <c r="K70" s="150"/>
      <c r="L70" s="150"/>
      <c r="M70" s="150"/>
      <c r="N70" s="150"/>
      <c r="O70" s="150"/>
      <c r="P70" s="150"/>
      <c r="Q70" s="170"/>
      <c r="S70" s="164">
        <f t="shared" si="1"/>
        <v>0</v>
      </c>
    </row>
    <row r="71" spans="1:19" ht="17.100000000000001" customHeight="1" x14ac:dyDescent="0.25">
      <c r="A71" s="189">
        <v>68</v>
      </c>
      <c r="B71" s="175" t="s">
        <v>53</v>
      </c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150"/>
      <c r="N71" s="150"/>
      <c r="O71" s="150"/>
      <c r="P71" s="150"/>
      <c r="Q71" s="170"/>
      <c r="S71" s="164">
        <f t="shared" si="1"/>
        <v>0</v>
      </c>
    </row>
    <row r="72" spans="1:19" ht="17.100000000000001" customHeight="1" x14ac:dyDescent="0.25">
      <c r="A72" s="189">
        <v>69</v>
      </c>
      <c r="B72" s="175" t="s">
        <v>119</v>
      </c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150"/>
      <c r="N72" s="150"/>
      <c r="O72" s="150"/>
      <c r="P72" s="150"/>
      <c r="Q72" s="170"/>
      <c r="S72" s="164">
        <f t="shared" si="1"/>
        <v>0</v>
      </c>
    </row>
    <row r="73" spans="1:19" ht="17.100000000000001" customHeight="1" x14ac:dyDescent="0.25">
      <c r="A73" s="189">
        <v>70</v>
      </c>
      <c r="B73" s="175" t="s">
        <v>52</v>
      </c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150"/>
      <c r="N73" s="150"/>
      <c r="O73" s="150"/>
      <c r="P73" s="150"/>
      <c r="Q73" s="170"/>
      <c r="S73" s="164">
        <f t="shared" si="1"/>
        <v>0</v>
      </c>
    </row>
    <row r="74" spans="1:19" ht="17.100000000000001" customHeight="1" x14ac:dyDescent="0.25">
      <c r="A74" s="189">
        <v>71</v>
      </c>
      <c r="B74" s="175" t="s">
        <v>55</v>
      </c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150"/>
      <c r="N74" s="150"/>
      <c r="O74" s="150"/>
      <c r="P74" s="150"/>
      <c r="Q74" s="170"/>
      <c r="S74" s="164">
        <f t="shared" si="1"/>
        <v>0</v>
      </c>
    </row>
    <row r="75" spans="1:19" ht="17.100000000000001" customHeight="1" x14ac:dyDescent="0.25">
      <c r="A75" s="189">
        <v>72</v>
      </c>
      <c r="B75" s="175" t="s">
        <v>51</v>
      </c>
      <c r="C75" s="150"/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70"/>
      <c r="S75" s="164">
        <f t="shared" si="1"/>
        <v>0</v>
      </c>
    </row>
    <row r="76" spans="1:19" ht="17.100000000000001" customHeight="1" x14ac:dyDescent="0.25">
      <c r="A76" s="189">
        <v>73</v>
      </c>
      <c r="B76" s="175" t="s">
        <v>120</v>
      </c>
      <c r="C76" s="150"/>
      <c r="D76" s="150"/>
      <c r="E76" s="150"/>
      <c r="F76" s="150"/>
      <c r="G76" s="150"/>
      <c r="H76" s="150"/>
      <c r="I76" s="150"/>
      <c r="J76" s="150"/>
      <c r="K76" s="150"/>
      <c r="L76" s="150"/>
      <c r="M76" s="150"/>
      <c r="N76" s="150"/>
      <c r="O76" s="150"/>
      <c r="P76" s="150"/>
      <c r="Q76" s="170"/>
      <c r="S76" s="164">
        <f t="shared" si="1"/>
        <v>0</v>
      </c>
    </row>
    <row r="77" spans="1:19" ht="17.100000000000001" customHeight="1" x14ac:dyDescent="0.25">
      <c r="A77" s="189">
        <v>74</v>
      </c>
      <c r="B77" s="175" t="s">
        <v>121</v>
      </c>
      <c r="C77" s="150"/>
      <c r="D77" s="150"/>
      <c r="E77" s="150"/>
      <c r="F77" s="150"/>
      <c r="G77" s="150"/>
      <c r="H77" s="150"/>
      <c r="I77" s="150"/>
      <c r="J77" s="150"/>
      <c r="K77" s="150"/>
      <c r="L77" s="150"/>
      <c r="M77" s="150"/>
      <c r="N77" s="150"/>
      <c r="O77" s="150"/>
      <c r="P77" s="150"/>
      <c r="Q77" s="170"/>
      <c r="S77" s="164">
        <f t="shared" si="1"/>
        <v>0</v>
      </c>
    </row>
    <row r="78" spans="1:19" ht="17.100000000000001" customHeight="1" x14ac:dyDescent="0.25">
      <c r="A78" s="189">
        <v>75</v>
      </c>
      <c r="B78" s="175" t="s">
        <v>122</v>
      </c>
      <c r="C78" s="150"/>
      <c r="D78" s="150"/>
      <c r="E78" s="150"/>
      <c r="F78" s="150"/>
      <c r="G78" s="150"/>
      <c r="H78" s="150"/>
      <c r="I78" s="150"/>
      <c r="J78" s="150"/>
      <c r="K78" s="150"/>
      <c r="L78" s="150"/>
      <c r="M78" s="150"/>
      <c r="N78" s="150"/>
      <c r="O78" s="150"/>
      <c r="P78" s="150"/>
      <c r="Q78" s="170"/>
      <c r="S78" s="164">
        <f t="shared" si="1"/>
        <v>0</v>
      </c>
    </row>
    <row r="79" spans="1:19" ht="17.100000000000001" customHeight="1" x14ac:dyDescent="0.25">
      <c r="A79" s="189">
        <v>76</v>
      </c>
      <c r="B79" s="175"/>
      <c r="C79" s="150"/>
      <c r="D79" s="150"/>
      <c r="E79" s="150"/>
      <c r="F79" s="150"/>
      <c r="G79" s="150"/>
      <c r="H79" s="150"/>
      <c r="I79" s="150"/>
      <c r="J79" s="150"/>
      <c r="K79" s="150"/>
      <c r="L79" s="150"/>
      <c r="M79" s="150"/>
      <c r="N79" s="150"/>
      <c r="O79" s="150"/>
      <c r="P79" s="150"/>
      <c r="Q79" s="170"/>
      <c r="S79" s="164">
        <f t="shared" si="1"/>
        <v>0</v>
      </c>
    </row>
    <row r="80" spans="1:19" ht="17.100000000000001" customHeight="1" x14ac:dyDescent="0.25">
      <c r="A80" s="189">
        <v>77</v>
      </c>
      <c r="B80" s="175"/>
      <c r="C80" s="150"/>
      <c r="D80" s="150"/>
      <c r="E80" s="150"/>
      <c r="F80" s="150"/>
      <c r="G80" s="150"/>
      <c r="H80" s="150"/>
      <c r="I80" s="150"/>
      <c r="J80" s="150"/>
      <c r="K80" s="150"/>
      <c r="L80" s="150"/>
      <c r="M80" s="150"/>
      <c r="N80" s="150"/>
      <c r="O80" s="150"/>
      <c r="P80" s="150"/>
      <c r="Q80" s="170"/>
      <c r="S80" s="164">
        <f t="shared" si="1"/>
        <v>0</v>
      </c>
    </row>
    <row r="81" spans="1:19" ht="17.100000000000001" customHeight="1" x14ac:dyDescent="0.25">
      <c r="A81" s="189">
        <v>78</v>
      </c>
      <c r="B81" s="175"/>
      <c r="C81" s="150"/>
      <c r="D81" s="150"/>
      <c r="E81" s="150"/>
      <c r="F81" s="150"/>
      <c r="G81" s="150"/>
      <c r="H81" s="150"/>
      <c r="I81" s="150"/>
      <c r="J81" s="150"/>
      <c r="K81" s="150"/>
      <c r="L81" s="150"/>
      <c r="M81" s="150"/>
      <c r="N81" s="150"/>
      <c r="O81" s="150"/>
      <c r="P81" s="150"/>
      <c r="Q81" s="170"/>
      <c r="S81" s="164">
        <f t="shared" si="1"/>
        <v>0</v>
      </c>
    </row>
    <row r="82" spans="1:19" ht="17.100000000000001" customHeight="1" x14ac:dyDescent="0.25">
      <c r="A82" s="189">
        <v>79</v>
      </c>
      <c r="B82" s="175"/>
      <c r="C82" s="150"/>
      <c r="D82" s="150"/>
      <c r="E82" s="150"/>
      <c r="F82" s="150"/>
      <c r="G82" s="150"/>
      <c r="H82" s="150"/>
      <c r="I82" s="150"/>
      <c r="J82" s="150"/>
      <c r="K82" s="150"/>
      <c r="L82" s="150"/>
      <c r="M82" s="150"/>
      <c r="N82" s="150"/>
      <c r="O82" s="150"/>
      <c r="P82" s="150"/>
      <c r="Q82" s="170"/>
      <c r="S82" s="164">
        <f t="shared" si="1"/>
        <v>0</v>
      </c>
    </row>
    <row r="83" spans="1:19" ht="17.100000000000001" customHeight="1" x14ac:dyDescent="0.25">
      <c r="A83" s="189">
        <v>80</v>
      </c>
      <c r="B83" s="175"/>
      <c r="C83" s="150"/>
      <c r="D83" s="150"/>
      <c r="E83" s="150"/>
      <c r="F83" s="150"/>
      <c r="G83" s="150"/>
      <c r="H83" s="150"/>
      <c r="I83" s="150"/>
      <c r="J83" s="150"/>
      <c r="K83" s="150"/>
      <c r="L83" s="150"/>
      <c r="M83" s="150"/>
      <c r="N83" s="150"/>
      <c r="O83" s="150"/>
      <c r="P83" s="150"/>
      <c r="Q83" s="170"/>
      <c r="S83" s="164">
        <f t="shared" si="1"/>
        <v>0</v>
      </c>
    </row>
    <row r="84" spans="1:19" ht="17.100000000000001" customHeight="1" x14ac:dyDescent="0.25">
      <c r="A84" s="189">
        <v>81</v>
      </c>
      <c r="B84" s="175"/>
      <c r="C84" s="150"/>
      <c r="D84" s="150"/>
      <c r="E84" s="150"/>
      <c r="F84" s="150"/>
      <c r="G84" s="150"/>
      <c r="H84" s="150"/>
      <c r="I84" s="150"/>
      <c r="J84" s="150"/>
      <c r="K84" s="150"/>
      <c r="L84" s="150"/>
      <c r="M84" s="150"/>
      <c r="N84" s="150"/>
      <c r="O84" s="150"/>
      <c r="P84" s="150"/>
      <c r="Q84" s="170"/>
      <c r="S84" s="164">
        <f t="shared" si="1"/>
        <v>0</v>
      </c>
    </row>
    <row r="85" spans="1:19" ht="17.100000000000001" customHeight="1" x14ac:dyDescent="0.25">
      <c r="A85" s="189">
        <v>82</v>
      </c>
      <c r="B85" s="175"/>
      <c r="C85" s="150"/>
      <c r="D85" s="150"/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70"/>
      <c r="S85" s="164">
        <f t="shared" si="1"/>
        <v>0</v>
      </c>
    </row>
    <row r="86" spans="1:19" ht="17.100000000000001" customHeight="1" thickBot="1" x14ac:dyDescent="0.3">
      <c r="A86" s="190">
        <v>83</v>
      </c>
      <c r="B86" s="176"/>
      <c r="C86" s="177"/>
      <c r="D86" s="177"/>
      <c r="E86" s="177"/>
      <c r="F86" s="177"/>
      <c r="G86" s="177"/>
      <c r="H86" s="177"/>
      <c r="I86" s="177"/>
      <c r="J86" s="177"/>
      <c r="K86" s="177"/>
      <c r="L86" s="177"/>
      <c r="M86" s="177"/>
      <c r="N86" s="177"/>
      <c r="O86" s="177"/>
      <c r="P86" s="177"/>
      <c r="Q86" s="191"/>
      <c r="S86" s="201">
        <f t="shared" si="1"/>
        <v>0</v>
      </c>
    </row>
    <row r="87" spans="1:19" ht="19.5" customHeight="1" thickBot="1" x14ac:dyDescent="0.3">
      <c r="A87" s="173" t="s">
        <v>29</v>
      </c>
      <c r="B87" s="145"/>
      <c r="C87" s="146">
        <f t="shared" ref="C87:Q87" si="2">SUM(C2:C86)</f>
        <v>0</v>
      </c>
      <c r="D87" s="146">
        <f t="shared" si="2"/>
        <v>0</v>
      </c>
      <c r="E87" s="146">
        <f t="shared" si="2"/>
        <v>0</v>
      </c>
      <c r="F87" s="146">
        <f t="shared" si="2"/>
        <v>0</v>
      </c>
      <c r="G87" s="146">
        <f t="shared" si="2"/>
        <v>0</v>
      </c>
      <c r="H87" s="146">
        <f t="shared" si="2"/>
        <v>0</v>
      </c>
      <c r="I87" s="146">
        <f t="shared" si="2"/>
        <v>0</v>
      </c>
      <c r="J87" s="146">
        <f t="shared" si="2"/>
        <v>0</v>
      </c>
      <c r="K87" s="146">
        <f t="shared" si="2"/>
        <v>0</v>
      </c>
      <c r="L87" s="146">
        <f t="shared" si="2"/>
        <v>0</v>
      </c>
      <c r="M87" s="146">
        <f t="shared" si="2"/>
        <v>0</v>
      </c>
      <c r="N87" s="146">
        <f t="shared" si="2"/>
        <v>0</v>
      </c>
      <c r="O87" s="146">
        <f t="shared" si="2"/>
        <v>0</v>
      </c>
      <c r="P87" s="147">
        <f t="shared" si="2"/>
        <v>0</v>
      </c>
      <c r="Q87" s="147">
        <f t="shared" si="2"/>
        <v>0</v>
      </c>
      <c r="S87" s="202">
        <f>SUM(S2:S86)</f>
        <v>0</v>
      </c>
    </row>
  </sheetData>
  <pageMargins left="0" right="0" top="0.35" bottom="0.25" header="0.3" footer="0.05"/>
  <pageSetup scale="9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82"/>
  <sheetViews>
    <sheetView showGridLines="0" topLeftCell="A129" zoomScale="85" zoomScaleNormal="85" workbookViewId="0">
      <selection activeCell="C158" sqref="C158"/>
    </sheetView>
  </sheetViews>
  <sheetFormatPr defaultRowHeight="14.4" x14ac:dyDescent="0.3"/>
  <cols>
    <col min="1" max="1" width="9.109375" style="19" customWidth="1"/>
    <col min="2" max="2" width="10" customWidth="1"/>
    <col min="3" max="3" width="28.88671875" customWidth="1"/>
    <col min="4" max="4" width="11" style="20" customWidth="1"/>
    <col min="5" max="5" width="11.88671875" style="20" customWidth="1"/>
    <col min="6" max="6" width="20" style="20" customWidth="1"/>
    <col min="10" max="10" width="11" bestFit="1" customWidth="1"/>
  </cols>
  <sheetData>
    <row r="1" spans="1:9" ht="15" thickBot="1" x14ac:dyDescent="0.35"/>
    <row r="2" spans="1:9" ht="30.75" customHeight="1" thickBot="1" x14ac:dyDescent="0.35">
      <c r="A2" s="319"/>
      <c r="B2" s="320"/>
      <c r="C2" s="321"/>
      <c r="D2" s="106"/>
      <c r="F2" s="108">
        <f>D2+D182</f>
        <v>1334</v>
      </c>
      <c r="I2" s="108">
        <f>D182</f>
        <v>1334</v>
      </c>
    </row>
    <row r="3" spans="1:9" ht="15" thickBot="1" x14ac:dyDescent="0.35"/>
    <row r="4" spans="1:9" ht="15" thickBot="1" x14ac:dyDescent="0.35">
      <c r="A4" s="3" t="s">
        <v>59</v>
      </c>
      <c r="B4" s="4" t="s">
        <v>60</v>
      </c>
      <c r="C4" s="5" t="s">
        <v>61</v>
      </c>
      <c r="D4" s="22" t="s">
        <v>64</v>
      </c>
      <c r="E4" s="7" t="s">
        <v>0</v>
      </c>
      <c r="F4" s="7" t="s">
        <v>65</v>
      </c>
    </row>
    <row r="5" spans="1:9" ht="18.75" customHeight="1" thickBot="1" x14ac:dyDescent="0.35">
      <c r="A5" s="332"/>
      <c r="B5" s="325"/>
      <c r="C5" s="326"/>
      <c r="D5" s="333"/>
      <c r="E5" s="334"/>
      <c r="F5" s="28"/>
    </row>
    <row r="6" spans="1:9" x14ac:dyDescent="0.3">
      <c r="A6" s="11">
        <v>46073</v>
      </c>
      <c r="B6" s="8"/>
      <c r="C6" s="13" t="s">
        <v>112</v>
      </c>
      <c r="D6" s="18">
        <v>9</v>
      </c>
      <c r="E6" s="10">
        <f>D6</f>
        <v>9</v>
      </c>
      <c r="F6" s="15"/>
    </row>
    <row r="7" spans="1:9" x14ac:dyDescent="0.3">
      <c r="A7" s="11">
        <v>46073</v>
      </c>
      <c r="B7" s="8"/>
      <c r="C7" s="13" t="s">
        <v>5</v>
      </c>
      <c r="D7" s="18">
        <v>10</v>
      </c>
      <c r="E7" s="10">
        <f t="shared" ref="E7:E10" si="0">E6+D7</f>
        <v>19</v>
      </c>
      <c r="F7" s="15"/>
    </row>
    <row r="8" spans="1:9" x14ac:dyDescent="0.3">
      <c r="A8" s="11">
        <v>46074</v>
      </c>
      <c r="B8" s="8"/>
      <c r="C8" s="13" t="s">
        <v>135</v>
      </c>
      <c r="D8" s="18">
        <v>10</v>
      </c>
      <c r="E8" s="10">
        <f t="shared" si="0"/>
        <v>29</v>
      </c>
      <c r="F8" s="15"/>
    </row>
    <row r="9" spans="1:9" x14ac:dyDescent="0.3">
      <c r="A9" s="11">
        <v>46074</v>
      </c>
      <c r="B9" s="8"/>
      <c r="C9" s="26" t="s">
        <v>32</v>
      </c>
      <c r="D9" s="18">
        <v>20</v>
      </c>
      <c r="E9" s="10">
        <f t="shared" si="0"/>
        <v>49</v>
      </c>
      <c r="F9" s="15"/>
    </row>
    <row r="10" spans="1:9" x14ac:dyDescent="0.3">
      <c r="A10" s="11">
        <v>46074</v>
      </c>
      <c r="B10" s="8"/>
      <c r="C10" s="26" t="s">
        <v>130</v>
      </c>
      <c r="D10" s="18">
        <v>10</v>
      </c>
      <c r="E10" s="10">
        <f t="shared" si="0"/>
        <v>59</v>
      </c>
      <c r="F10" s="15"/>
    </row>
    <row r="11" spans="1:9" x14ac:dyDescent="0.3">
      <c r="A11" s="23">
        <v>46080</v>
      </c>
      <c r="B11" s="8"/>
      <c r="C11" s="17" t="s">
        <v>136</v>
      </c>
      <c r="D11" s="18">
        <v>10</v>
      </c>
      <c r="E11" s="10">
        <f t="shared" ref="E11:E58" si="1">E10+D11</f>
        <v>69</v>
      </c>
      <c r="F11" s="15"/>
    </row>
    <row r="12" spans="1:9" x14ac:dyDescent="0.3">
      <c r="A12" s="23">
        <v>46080</v>
      </c>
      <c r="B12" s="8"/>
      <c r="C12" s="17" t="s">
        <v>137</v>
      </c>
      <c r="D12" s="18">
        <v>20</v>
      </c>
      <c r="E12" s="10">
        <f t="shared" si="1"/>
        <v>89</v>
      </c>
      <c r="F12" s="15"/>
    </row>
    <row r="13" spans="1:9" x14ac:dyDescent="0.3">
      <c r="A13" s="23">
        <v>46080</v>
      </c>
      <c r="B13" s="8"/>
      <c r="C13" s="17" t="s">
        <v>138</v>
      </c>
      <c r="D13" s="18">
        <v>10</v>
      </c>
      <c r="E13" s="10">
        <f t="shared" si="1"/>
        <v>99</v>
      </c>
      <c r="F13" s="15"/>
    </row>
    <row r="14" spans="1:9" x14ac:dyDescent="0.3">
      <c r="A14" s="23">
        <v>46080</v>
      </c>
      <c r="B14" s="8"/>
      <c r="C14" s="17" t="s">
        <v>8</v>
      </c>
      <c r="D14" s="18">
        <v>10</v>
      </c>
      <c r="E14" s="10">
        <f t="shared" si="1"/>
        <v>109</v>
      </c>
      <c r="F14" s="15"/>
    </row>
    <row r="15" spans="1:9" x14ac:dyDescent="0.3">
      <c r="A15" s="23">
        <v>46080</v>
      </c>
      <c r="B15" s="8"/>
      <c r="C15" s="26" t="s">
        <v>139</v>
      </c>
      <c r="D15" s="18">
        <v>6</v>
      </c>
      <c r="E15" s="10">
        <f t="shared" si="1"/>
        <v>115</v>
      </c>
      <c r="F15" s="15"/>
    </row>
    <row r="16" spans="1:9" x14ac:dyDescent="0.3">
      <c r="A16" s="23">
        <v>46080</v>
      </c>
      <c r="B16" s="8"/>
      <c r="C16" s="17" t="s">
        <v>51</v>
      </c>
      <c r="D16" s="18">
        <v>10</v>
      </c>
      <c r="E16" s="10">
        <f t="shared" si="1"/>
        <v>125</v>
      </c>
      <c r="F16" s="15"/>
    </row>
    <row r="17" spans="1:6" x14ac:dyDescent="0.3">
      <c r="A17" s="23">
        <v>46080</v>
      </c>
      <c r="B17" s="8"/>
      <c r="C17" s="17" t="s">
        <v>16</v>
      </c>
      <c r="D17" s="18">
        <v>5</v>
      </c>
      <c r="E17" s="10">
        <f t="shared" si="1"/>
        <v>130</v>
      </c>
      <c r="F17" s="15"/>
    </row>
    <row r="18" spans="1:6" x14ac:dyDescent="0.3">
      <c r="A18" s="23">
        <v>46080</v>
      </c>
      <c r="B18" s="8"/>
      <c r="C18" s="17" t="s">
        <v>109</v>
      </c>
      <c r="D18" s="18">
        <v>5</v>
      </c>
      <c r="E18" s="10">
        <f t="shared" si="1"/>
        <v>135</v>
      </c>
      <c r="F18" s="15"/>
    </row>
    <row r="19" spans="1:6" x14ac:dyDescent="0.3">
      <c r="A19" s="16">
        <v>46081</v>
      </c>
      <c r="B19" s="8"/>
      <c r="C19" s="13" t="s">
        <v>30</v>
      </c>
      <c r="D19" s="18">
        <v>5</v>
      </c>
      <c r="E19" s="10">
        <f t="shared" si="1"/>
        <v>140</v>
      </c>
      <c r="F19" s="15"/>
    </row>
    <row r="20" spans="1:6" x14ac:dyDescent="0.3">
      <c r="A20" s="16">
        <v>46081</v>
      </c>
      <c r="B20" s="8"/>
      <c r="C20" s="13" t="s">
        <v>141</v>
      </c>
      <c r="D20" s="18">
        <v>5</v>
      </c>
      <c r="E20" s="10">
        <f t="shared" si="1"/>
        <v>145</v>
      </c>
      <c r="F20" s="15"/>
    </row>
    <row r="21" spans="1:6" x14ac:dyDescent="0.3">
      <c r="A21" s="16">
        <v>46081</v>
      </c>
      <c r="B21" s="8"/>
      <c r="C21" s="13" t="s">
        <v>142</v>
      </c>
      <c r="D21" s="18">
        <v>5</v>
      </c>
      <c r="E21" s="10">
        <f t="shared" si="1"/>
        <v>150</v>
      </c>
      <c r="F21" s="15"/>
    </row>
    <row r="22" spans="1:6" x14ac:dyDescent="0.3">
      <c r="A22" s="16">
        <v>46083</v>
      </c>
      <c r="B22" s="8"/>
      <c r="C22" s="13" t="s">
        <v>11</v>
      </c>
      <c r="D22" s="18">
        <v>25</v>
      </c>
      <c r="E22" s="10">
        <f t="shared" si="1"/>
        <v>175</v>
      </c>
      <c r="F22" s="15"/>
    </row>
    <row r="23" spans="1:6" x14ac:dyDescent="0.3">
      <c r="A23" s="16">
        <v>46087</v>
      </c>
      <c r="B23" s="8"/>
      <c r="C23" s="13" t="s">
        <v>143</v>
      </c>
      <c r="D23" s="18">
        <v>5</v>
      </c>
      <c r="E23" s="10">
        <f t="shared" si="1"/>
        <v>180</v>
      </c>
      <c r="F23" s="15"/>
    </row>
    <row r="24" spans="1:6" x14ac:dyDescent="0.3">
      <c r="A24" s="16">
        <v>46087</v>
      </c>
      <c r="B24" s="8"/>
      <c r="C24" s="26" t="s">
        <v>144</v>
      </c>
      <c r="D24" s="18">
        <v>5</v>
      </c>
      <c r="E24" s="10">
        <f t="shared" si="1"/>
        <v>185</v>
      </c>
      <c r="F24" s="15"/>
    </row>
    <row r="25" spans="1:6" x14ac:dyDescent="0.3">
      <c r="A25" s="16">
        <v>46087</v>
      </c>
      <c r="B25" s="8"/>
      <c r="C25" s="13" t="s">
        <v>145</v>
      </c>
      <c r="D25" s="18">
        <v>5</v>
      </c>
      <c r="E25" s="10">
        <f t="shared" si="1"/>
        <v>190</v>
      </c>
      <c r="F25" s="15"/>
    </row>
    <row r="26" spans="1:6" x14ac:dyDescent="0.3">
      <c r="A26" s="16">
        <v>46087</v>
      </c>
      <c r="B26" s="8"/>
      <c r="C26" s="13" t="s">
        <v>105</v>
      </c>
      <c r="D26" s="18">
        <v>5</v>
      </c>
      <c r="E26" s="10">
        <f t="shared" si="1"/>
        <v>195</v>
      </c>
      <c r="F26" s="15"/>
    </row>
    <row r="27" spans="1:6" x14ac:dyDescent="0.3">
      <c r="A27" s="16">
        <v>46087</v>
      </c>
      <c r="B27" s="8"/>
      <c r="C27" s="13" t="s">
        <v>10</v>
      </c>
      <c r="D27" s="18">
        <v>5</v>
      </c>
      <c r="E27" s="10">
        <f t="shared" si="1"/>
        <v>200</v>
      </c>
      <c r="F27" s="15"/>
    </row>
    <row r="28" spans="1:6" x14ac:dyDescent="0.3">
      <c r="A28" s="16">
        <v>46088</v>
      </c>
      <c r="B28" s="8"/>
      <c r="C28" s="13" t="s">
        <v>146</v>
      </c>
      <c r="D28" s="18">
        <v>5</v>
      </c>
      <c r="E28" s="10">
        <f t="shared" si="1"/>
        <v>205</v>
      </c>
      <c r="F28" s="15"/>
    </row>
    <row r="29" spans="1:6" x14ac:dyDescent="0.3">
      <c r="A29" s="16">
        <v>46088</v>
      </c>
      <c r="B29" s="8"/>
      <c r="C29" s="13" t="s">
        <v>147</v>
      </c>
      <c r="D29" s="18">
        <v>10</v>
      </c>
      <c r="E29" s="10">
        <f t="shared" si="1"/>
        <v>215</v>
      </c>
      <c r="F29" s="15"/>
    </row>
    <row r="30" spans="1:6" x14ac:dyDescent="0.3">
      <c r="A30" s="16">
        <v>46088</v>
      </c>
      <c r="B30" s="8"/>
      <c r="C30" s="13" t="s">
        <v>148</v>
      </c>
      <c r="D30" s="18">
        <v>10</v>
      </c>
      <c r="E30" s="10">
        <f t="shared" si="1"/>
        <v>225</v>
      </c>
      <c r="F30" s="15"/>
    </row>
    <row r="31" spans="1:6" x14ac:dyDescent="0.3">
      <c r="A31" s="158">
        <v>46088</v>
      </c>
      <c r="B31" s="8"/>
      <c r="C31" s="17" t="s">
        <v>134</v>
      </c>
      <c r="D31" s="18">
        <v>2</v>
      </c>
      <c r="E31" s="10">
        <f t="shared" si="1"/>
        <v>227</v>
      </c>
      <c r="F31" s="15"/>
    </row>
    <row r="32" spans="1:6" x14ac:dyDescent="0.3">
      <c r="A32" s="11">
        <v>46094</v>
      </c>
      <c r="B32" s="8"/>
      <c r="C32" s="13" t="s">
        <v>89</v>
      </c>
      <c r="D32" s="18">
        <v>7</v>
      </c>
      <c r="E32" s="10">
        <f t="shared" si="1"/>
        <v>234</v>
      </c>
      <c r="F32" s="15"/>
    </row>
    <row r="33" spans="1:6" x14ac:dyDescent="0.3">
      <c r="A33" s="11">
        <v>46094</v>
      </c>
      <c r="B33" s="8"/>
      <c r="C33" s="175" t="s">
        <v>117</v>
      </c>
      <c r="D33" s="18">
        <v>5</v>
      </c>
      <c r="E33" s="10">
        <f t="shared" si="1"/>
        <v>239</v>
      </c>
      <c r="F33" s="15"/>
    </row>
    <row r="34" spans="1:6" x14ac:dyDescent="0.3">
      <c r="A34" s="11">
        <v>46094</v>
      </c>
      <c r="B34" s="8"/>
      <c r="C34" s="13" t="s">
        <v>107</v>
      </c>
      <c r="D34" s="18">
        <v>5</v>
      </c>
      <c r="E34" s="10">
        <f t="shared" si="1"/>
        <v>244</v>
      </c>
      <c r="F34" s="15"/>
    </row>
    <row r="35" spans="1:6" x14ac:dyDescent="0.3">
      <c r="A35" s="11">
        <v>46095</v>
      </c>
      <c r="B35" s="8"/>
      <c r="C35" s="13" t="s">
        <v>149</v>
      </c>
      <c r="D35" s="18">
        <v>20</v>
      </c>
      <c r="E35" s="10">
        <f t="shared" si="1"/>
        <v>264</v>
      </c>
      <c r="F35" s="15"/>
    </row>
    <row r="36" spans="1:6" x14ac:dyDescent="0.3">
      <c r="A36" s="11">
        <v>46095</v>
      </c>
      <c r="B36" s="8"/>
      <c r="C36" s="13" t="s">
        <v>150</v>
      </c>
      <c r="D36" s="18">
        <v>30</v>
      </c>
      <c r="E36" s="10">
        <f t="shared" si="1"/>
        <v>294</v>
      </c>
      <c r="F36" s="15"/>
    </row>
    <row r="37" spans="1:6" x14ac:dyDescent="0.3">
      <c r="A37" s="11">
        <v>46095</v>
      </c>
      <c r="B37" s="8"/>
      <c r="C37" s="13" t="s">
        <v>134</v>
      </c>
      <c r="D37" s="18">
        <v>4</v>
      </c>
      <c r="E37" s="10">
        <f t="shared" si="1"/>
        <v>298</v>
      </c>
      <c r="F37" s="15"/>
    </row>
    <row r="38" spans="1:6" x14ac:dyDescent="0.3">
      <c r="A38" s="11">
        <v>46099</v>
      </c>
      <c r="B38" s="8"/>
      <c r="C38" s="13" t="s">
        <v>151</v>
      </c>
      <c r="D38" s="18">
        <v>30</v>
      </c>
      <c r="E38" s="10">
        <f t="shared" si="1"/>
        <v>328</v>
      </c>
      <c r="F38" s="15"/>
    </row>
    <row r="39" spans="1:6" x14ac:dyDescent="0.3">
      <c r="A39" s="11">
        <v>46101</v>
      </c>
      <c r="B39" s="8"/>
      <c r="C39" s="13" t="s">
        <v>157</v>
      </c>
      <c r="D39" s="18">
        <v>20</v>
      </c>
      <c r="E39" s="10">
        <f t="shared" si="1"/>
        <v>348</v>
      </c>
      <c r="F39" s="15"/>
    </row>
    <row r="40" spans="1:6" x14ac:dyDescent="0.3">
      <c r="A40" s="11">
        <v>46101</v>
      </c>
      <c r="B40" s="8"/>
      <c r="C40" s="13" t="s">
        <v>15</v>
      </c>
      <c r="D40" s="18">
        <v>10</v>
      </c>
      <c r="E40" s="10">
        <f t="shared" si="1"/>
        <v>358</v>
      </c>
      <c r="F40" s="15"/>
    </row>
    <row r="41" spans="1:6" x14ac:dyDescent="0.3">
      <c r="A41" s="11">
        <v>46101</v>
      </c>
      <c r="B41" s="8"/>
      <c r="C41" s="13" t="s">
        <v>136</v>
      </c>
      <c r="D41" s="18">
        <v>5</v>
      </c>
      <c r="E41" s="10">
        <f t="shared" si="1"/>
        <v>363</v>
      </c>
      <c r="F41" s="15"/>
    </row>
    <row r="42" spans="1:6" x14ac:dyDescent="0.3">
      <c r="A42" s="11">
        <v>46101</v>
      </c>
      <c r="B42" s="8"/>
      <c r="C42" s="13" t="s">
        <v>110</v>
      </c>
      <c r="D42" s="18">
        <v>5</v>
      </c>
      <c r="E42" s="10">
        <f t="shared" si="1"/>
        <v>368</v>
      </c>
      <c r="F42" s="15"/>
    </row>
    <row r="43" spans="1:6" x14ac:dyDescent="0.3">
      <c r="A43" s="11">
        <v>46102</v>
      </c>
      <c r="B43" s="8"/>
      <c r="C43" s="13" t="s">
        <v>95</v>
      </c>
      <c r="D43" s="18">
        <v>6</v>
      </c>
      <c r="E43" s="10">
        <f t="shared" si="1"/>
        <v>374</v>
      </c>
      <c r="F43" s="15"/>
    </row>
    <row r="44" spans="1:6" x14ac:dyDescent="0.3">
      <c r="A44" s="11">
        <v>46108</v>
      </c>
      <c r="B44" s="8"/>
      <c r="C44" s="13" t="s">
        <v>31</v>
      </c>
      <c r="D44" s="18">
        <v>60</v>
      </c>
      <c r="E44" s="10">
        <f t="shared" si="1"/>
        <v>434</v>
      </c>
      <c r="F44" s="15"/>
    </row>
    <row r="45" spans="1:6" x14ac:dyDescent="0.3">
      <c r="A45" s="11">
        <v>46108</v>
      </c>
      <c r="B45" s="8"/>
      <c r="C45" s="175" t="s">
        <v>2</v>
      </c>
      <c r="D45" s="18">
        <v>5</v>
      </c>
      <c r="E45" s="10">
        <f t="shared" si="1"/>
        <v>439</v>
      </c>
      <c r="F45" s="15"/>
    </row>
    <row r="46" spans="1:6" x14ac:dyDescent="0.3">
      <c r="A46" s="11">
        <v>46108</v>
      </c>
      <c r="B46" s="8"/>
      <c r="C46" s="13" t="s">
        <v>16</v>
      </c>
      <c r="D46" s="18">
        <v>5</v>
      </c>
      <c r="E46" s="10">
        <f t="shared" si="1"/>
        <v>444</v>
      </c>
      <c r="F46" s="15"/>
    </row>
    <row r="47" spans="1:6" x14ac:dyDescent="0.3">
      <c r="A47" s="11">
        <v>46108</v>
      </c>
      <c r="B47" s="8"/>
      <c r="C47" s="13" t="s">
        <v>8</v>
      </c>
      <c r="D47" s="18">
        <v>5</v>
      </c>
      <c r="E47" s="10">
        <f t="shared" si="1"/>
        <v>449</v>
      </c>
      <c r="F47" s="15"/>
    </row>
    <row r="48" spans="1:6" x14ac:dyDescent="0.3">
      <c r="A48" s="11">
        <v>46108</v>
      </c>
      <c r="B48" s="8"/>
      <c r="C48" s="13" t="s">
        <v>119</v>
      </c>
      <c r="D48" s="18">
        <v>5</v>
      </c>
      <c r="E48" s="10">
        <f t="shared" si="1"/>
        <v>454</v>
      </c>
      <c r="F48" s="15"/>
    </row>
    <row r="49" spans="1:6" x14ac:dyDescent="0.3">
      <c r="A49" s="11">
        <v>46108</v>
      </c>
      <c r="B49" s="8"/>
      <c r="C49" s="13" t="s">
        <v>108</v>
      </c>
      <c r="D49" s="18">
        <v>10</v>
      </c>
      <c r="E49" s="10">
        <f t="shared" si="1"/>
        <v>464</v>
      </c>
      <c r="F49" s="15"/>
    </row>
    <row r="50" spans="1:6" x14ac:dyDescent="0.3">
      <c r="A50" s="11">
        <v>46108</v>
      </c>
      <c r="B50" s="8"/>
      <c r="C50" s="13" t="s">
        <v>158</v>
      </c>
      <c r="D50" s="18">
        <v>5</v>
      </c>
      <c r="E50" s="10">
        <f t="shared" si="1"/>
        <v>469</v>
      </c>
      <c r="F50" s="15"/>
    </row>
    <row r="51" spans="1:6" x14ac:dyDescent="0.3">
      <c r="A51" s="11">
        <v>46108</v>
      </c>
      <c r="B51" s="8"/>
      <c r="C51" s="13" t="s">
        <v>135</v>
      </c>
      <c r="D51" s="18">
        <v>10</v>
      </c>
      <c r="E51" s="10">
        <f t="shared" si="1"/>
        <v>479</v>
      </c>
      <c r="F51" s="15"/>
    </row>
    <row r="52" spans="1:6" x14ac:dyDescent="0.3">
      <c r="A52" s="11">
        <v>46108</v>
      </c>
      <c r="B52" s="8"/>
      <c r="C52" s="13" t="s">
        <v>15</v>
      </c>
      <c r="D52" s="18">
        <v>15</v>
      </c>
      <c r="E52" s="10">
        <f t="shared" si="1"/>
        <v>494</v>
      </c>
      <c r="F52" s="15"/>
    </row>
    <row r="53" spans="1:6" x14ac:dyDescent="0.3">
      <c r="A53" s="11">
        <v>46108</v>
      </c>
      <c r="B53" s="8"/>
      <c r="C53" s="175" t="s">
        <v>106</v>
      </c>
      <c r="D53" s="18">
        <v>10</v>
      </c>
      <c r="E53" s="10">
        <f t="shared" si="1"/>
        <v>504</v>
      </c>
      <c r="F53" s="15"/>
    </row>
    <row r="54" spans="1:6" x14ac:dyDescent="0.3">
      <c r="A54" s="45">
        <v>46109</v>
      </c>
      <c r="B54" s="8"/>
      <c r="C54" s="26" t="s">
        <v>53</v>
      </c>
      <c r="D54" s="18">
        <v>5</v>
      </c>
      <c r="E54" s="10">
        <f t="shared" si="1"/>
        <v>509</v>
      </c>
      <c r="F54" s="15"/>
    </row>
    <row r="55" spans="1:6" x14ac:dyDescent="0.3">
      <c r="A55" s="45">
        <v>46109</v>
      </c>
      <c r="B55" s="8"/>
      <c r="C55" s="175" t="s">
        <v>49</v>
      </c>
      <c r="D55" s="18">
        <v>5</v>
      </c>
      <c r="E55" s="10">
        <f t="shared" si="1"/>
        <v>514</v>
      </c>
      <c r="F55" s="15"/>
    </row>
    <row r="56" spans="1:6" x14ac:dyDescent="0.3">
      <c r="A56" s="45">
        <v>46109</v>
      </c>
      <c r="B56" s="8"/>
      <c r="C56" s="175" t="s">
        <v>114</v>
      </c>
      <c r="D56" s="18">
        <v>10</v>
      </c>
      <c r="E56" s="10">
        <f t="shared" si="1"/>
        <v>524</v>
      </c>
      <c r="F56" s="15"/>
    </row>
    <row r="57" spans="1:6" x14ac:dyDescent="0.3">
      <c r="A57" s="45">
        <v>46109</v>
      </c>
      <c r="B57" s="8"/>
      <c r="C57" s="26" t="s">
        <v>142</v>
      </c>
      <c r="D57" s="18">
        <v>5</v>
      </c>
      <c r="E57" s="10">
        <f t="shared" si="1"/>
        <v>529</v>
      </c>
      <c r="F57" s="15"/>
    </row>
    <row r="58" spans="1:6" ht="15" thickBot="1" x14ac:dyDescent="0.35">
      <c r="A58" s="45">
        <v>46109</v>
      </c>
      <c r="B58" s="8"/>
      <c r="C58" s="26" t="s">
        <v>147</v>
      </c>
      <c r="D58" s="18">
        <v>5</v>
      </c>
      <c r="E58" s="10">
        <f t="shared" si="1"/>
        <v>534</v>
      </c>
      <c r="F58" s="15"/>
    </row>
    <row r="59" spans="1:6" ht="18.75" customHeight="1" thickBot="1" x14ac:dyDescent="0.35">
      <c r="A59" s="327" t="s">
        <v>63</v>
      </c>
      <c r="B59" s="328"/>
      <c r="C59" s="27"/>
      <c r="D59" s="329">
        <f>SUM(D6:D58)+D5</f>
        <v>534</v>
      </c>
      <c r="E59" s="330"/>
      <c r="F59" s="47"/>
    </row>
    <row r="60" spans="1:6" ht="18.75" customHeight="1" thickBot="1" x14ac:dyDescent="0.35">
      <c r="A60" s="42"/>
      <c r="B60" s="42"/>
      <c r="C60" s="43"/>
      <c r="D60" s="44"/>
      <c r="E60" s="44"/>
      <c r="F60" s="44"/>
    </row>
    <row r="61" spans="1:6" ht="15" thickBot="1" x14ac:dyDescent="0.35">
      <c r="A61" s="3" t="s">
        <v>59</v>
      </c>
      <c r="B61" s="4" t="s">
        <v>60</v>
      </c>
      <c r="C61" s="5" t="s">
        <v>61</v>
      </c>
      <c r="D61" s="22" t="s">
        <v>64</v>
      </c>
      <c r="E61" s="7" t="s">
        <v>0</v>
      </c>
      <c r="F61" s="7" t="s">
        <v>65</v>
      </c>
    </row>
    <row r="62" spans="1:6" ht="18.75" customHeight="1" thickBot="1" x14ac:dyDescent="0.35">
      <c r="A62" s="332" t="s">
        <v>66</v>
      </c>
      <c r="B62" s="325"/>
      <c r="C62" s="326"/>
      <c r="D62" s="245">
        <f>D59</f>
        <v>534</v>
      </c>
      <c r="E62" s="246"/>
      <c r="F62" s="28">
        <f>SUM(D63:D120)</f>
        <v>549</v>
      </c>
    </row>
    <row r="63" spans="1:6" x14ac:dyDescent="0.3">
      <c r="A63" s="158">
        <v>46122</v>
      </c>
      <c r="B63" s="8"/>
      <c r="C63" s="24" t="s">
        <v>91</v>
      </c>
      <c r="D63" s="25">
        <v>10</v>
      </c>
      <c r="E63" s="10">
        <f>D62+D63</f>
        <v>544</v>
      </c>
      <c r="F63" s="10"/>
    </row>
    <row r="64" spans="1:6" x14ac:dyDescent="0.3">
      <c r="A64" s="158">
        <v>46122</v>
      </c>
      <c r="B64" s="8"/>
      <c r="C64" s="17" t="s">
        <v>51</v>
      </c>
      <c r="D64" s="18">
        <v>10</v>
      </c>
      <c r="E64" s="10">
        <f t="shared" ref="E64:E73" si="2">E63+D64</f>
        <v>554</v>
      </c>
      <c r="F64" s="15"/>
    </row>
    <row r="65" spans="1:6" x14ac:dyDescent="0.3">
      <c r="A65" s="158">
        <v>46122</v>
      </c>
      <c r="B65" s="8"/>
      <c r="C65" s="17" t="s">
        <v>3</v>
      </c>
      <c r="D65" s="18">
        <v>5</v>
      </c>
      <c r="E65" s="10">
        <f t="shared" si="2"/>
        <v>559</v>
      </c>
      <c r="F65" s="15"/>
    </row>
    <row r="66" spans="1:6" x14ac:dyDescent="0.3">
      <c r="A66" s="158">
        <v>46122</v>
      </c>
      <c r="B66" s="8"/>
      <c r="C66" s="17" t="s">
        <v>9</v>
      </c>
      <c r="D66" s="18">
        <v>5</v>
      </c>
      <c r="E66" s="10">
        <f t="shared" si="2"/>
        <v>564</v>
      </c>
      <c r="F66" s="15"/>
    </row>
    <row r="67" spans="1:6" x14ac:dyDescent="0.3">
      <c r="A67" s="158">
        <v>46122</v>
      </c>
      <c r="B67" s="8"/>
      <c r="C67" s="17" t="s">
        <v>171</v>
      </c>
      <c r="D67" s="18">
        <v>20</v>
      </c>
      <c r="E67" s="10">
        <f t="shared" si="2"/>
        <v>584</v>
      </c>
      <c r="F67" s="15"/>
    </row>
    <row r="68" spans="1:6" x14ac:dyDescent="0.3">
      <c r="A68" s="158">
        <v>46122</v>
      </c>
      <c r="B68" s="8"/>
      <c r="C68" s="17" t="s">
        <v>172</v>
      </c>
      <c r="D68" s="18">
        <v>5</v>
      </c>
      <c r="E68" s="10">
        <f t="shared" si="2"/>
        <v>589</v>
      </c>
      <c r="F68" s="15"/>
    </row>
    <row r="69" spans="1:6" x14ac:dyDescent="0.3">
      <c r="A69" s="158">
        <v>46122</v>
      </c>
      <c r="B69" s="8"/>
      <c r="C69" s="17" t="s">
        <v>107</v>
      </c>
      <c r="D69" s="18">
        <v>5</v>
      </c>
      <c r="E69" s="10">
        <f t="shared" si="2"/>
        <v>594</v>
      </c>
      <c r="F69" s="15"/>
    </row>
    <row r="70" spans="1:6" x14ac:dyDescent="0.3">
      <c r="A70" s="158">
        <v>46122</v>
      </c>
      <c r="B70" s="8"/>
      <c r="C70" s="17" t="s">
        <v>10</v>
      </c>
      <c r="D70" s="18">
        <v>5</v>
      </c>
      <c r="E70" s="10">
        <f t="shared" si="2"/>
        <v>599</v>
      </c>
      <c r="F70" s="15"/>
    </row>
    <row r="71" spans="1:6" x14ac:dyDescent="0.3">
      <c r="A71" s="158">
        <v>46122</v>
      </c>
      <c r="B71" s="8"/>
      <c r="C71" s="17" t="s">
        <v>112</v>
      </c>
      <c r="D71" s="18">
        <v>9</v>
      </c>
      <c r="E71" s="10">
        <f t="shared" si="2"/>
        <v>608</v>
      </c>
      <c r="F71" s="15"/>
    </row>
    <row r="72" spans="1:6" x14ac:dyDescent="0.3">
      <c r="A72" s="158">
        <v>46122</v>
      </c>
      <c r="B72" s="8"/>
      <c r="C72" s="26" t="s">
        <v>135</v>
      </c>
      <c r="D72" s="18">
        <v>10</v>
      </c>
      <c r="E72" s="10">
        <f t="shared" si="2"/>
        <v>618</v>
      </c>
      <c r="F72" s="15"/>
    </row>
    <row r="73" spans="1:6" x14ac:dyDescent="0.3">
      <c r="A73" s="158">
        <v>46122</v>
      </c>
      <c r="B73" s="8"/>
      <c r="C73" s="17" t="s">
        <v>58</v>
      </c>
      <c r="D73" s="18">
        <v>10</v>
      </c>
      <c r="E73" s="10">
        <f t="shared" si="2"/>
        <v>628</v>
      </c>
      <c r="F73" s="15"/>
    </row>
    <row r="74" spans="1:6" x14ac:dyDescent="0.3">
      <c r="A74" s="158">
        <v>46122</v>
      </c>
      <c r="B74" s="8"/>
      <c r="C74" s="174" t="s">
        <v>109</v>
      </c>
      <c r="D74" s="18">
        <v>5</v>
      </c>
      <c r="E74" s="10">
        <f t="shared" ref="E74:E91" si="3">E73+D74</f>
        <v>633</v>
      </c>
      <c r="F74" s="15"/>
    </row>
    <row r="75" spans="1:6" x14ac:dyDescent="0.3">
      <c r="A75" s="16">
        <v>46123</v>
      </c>
      <c r="B75" s="8"/>
      <c r="C75" s="13" t="s">
        <v>176</v>
      </c>
      <c r="D75" s="18">
        <v>20</v>
      </c>
      <c r="E75" s="10">
        <f t="shared" si="3"/>
        <v>653</v>
      </c>
      <c r="F75" s="15"/>
    </row>
    <row r="76" spans="1:6" x14ac:dyDescent="0.3">
      <c r="A76" s="16">
        <v>46123</v>
      </c>
      <c r="B76" s="8"/>
      <c r="C76" s="17" t="s">
        <v>146</v>
      </c>
      <c r="D76" s="18">
        <v>5</v>
      </c>
      <c r="E76" s="10">
        <f t="shared" si="3"/>
        <v>658</v>
      </c>
      <c r="F76" s="15"/>
    </row>
    <row r="77" spans="1:6" x14ac:dyDescent="0.3">
      <c r="A77" s="16">
        <v>46123</v>
      </c>
      <c r="B77" s="8"/>
      <c r="C77" s="17" t="s">
        <v>177</v>
      </c>
      <c r="D77" s="18">
        <v>10</v>
      </c>
      <c r="E77" s="10">
        <f t="shared" si="3"/>
        <v>668</v>
      </c>
      <c r="F77" s="15"/>
    </row>
    <row r="78" spans="1:6" x14ac:dyDescent="0.3">
      <c r="A78" s="16">
        <v>46123</v>
      </c>
      <c r="B78" s="8"/>
      <c r="C78" s="13" t="s">
        <v>30</v>
      </c>
      <c r="D78" s="18">
        <v>5</v>
      </c>
      <c r="E78" s="10">
        <f t="shared" si="3"/>
        <v>673</v>
      </c>
      <c r="F78" s="15"/>
    </row>
    <row r="79" spans="1:6" x14ac:dyDescent="0.3">
      <c r="A79" s="16">
        <v>46123</v>
      </c>
      <c r="B79" s="8"/>
      <c r="C79" s="13" t="s">
        <v>178</v>
      </c>
      <c r="D79" s="18">
        <v>5</v>
      </c>
      <c r="E79" s="10">
        <f t="shared" si="3"/>
        <v>678</v>
      </c>
      <c r="F79" s="15"/>
    </row>
    <row r="80" spans="1:6" x14ac:dyDescent="0.3">
      <c r="A80" s="16">
        <v>46123</v>
      </c>
      <c r="B80" s="8"/>
      <c r="C80" s="26" t="s">
        <v>134</v>
      </c>
      <c r="D80" s="18">
        <v>2</v>
      </c>
      <c r="E80" s="10">
        <f t="shared" si="3"/>
        <v>680</v>
      </c>
      <c r="F80" s="15"/>
    </row>
    <row r="81" spans="1:6" x14ac:dyDescent="0.3">
      <c r="A81" s="16">
        <v>46123</v>
      </c>
      <c r="B81" s="8"/>
      <c r="C81" s="13" t="s">
        <v>4</v>
      </c>
      <c r="D81" s="18">
        <v>10</v>
      </c>
      <c r="E81" s="10">
        <f t="shared" si="3"/>
        <v>690</v>
      </c>
      <c r="F81" s="15"/>
    </row>
    <row r="82" spans="1:6" x14ac:dyDescent="0.3">
      <c r="A82" s="16">
        <v>46123</v>
      </c>
      <c r="B82" s="8"/>
      <c r="C82" s="13" t="s">
        <v>111</v>
      </c>
      <c r="D82" s="18">
        <v>10</v>
      </c>
      <c r="E82" s="10">
        <f t="shared" si="3"/>
        <v>700</v>
      </c>
      <c r="F82" s="15"/>
    </row>
    <row r="83" spans="1:6" x14ac:dyDescent="0.3">
      <c r="A83" s="16">
        <v>46129</v>
      </c>
      <c r="B83" s="8"/>
      <c r="C83" s="13" t="s">
        <v>5</v>
      </c>
      <c r="D83" s="18">
        <v>10</v>
      </c>
      <c r="E83" s="10">
        <f t="shared" si="3"/>
        <v>710</v>
      </c>
      <c r="F83" s="15"/>
    </row>
    <row r="84" spans="1:6" x14ac:dyDescent="0.3">
      <c r="A84" s="16">
        <v>46130</v>
      </c>
      <c r="B84" s="8"/>
      <c r="C84" s="13" t="s">
        <v>89</v>
      </c>
      <c r="D84" s="18">
        <v>7</v>
      </c>
      <c r="E84" s="10">
        <f t="shared" si="3"/>
        <v>717</v>
      </c>
      <c r="F84" s="15"/>
    </row>
    <row r="85" spans="1:6" x14ac:dyDescent="0.3">
      <c r="A85" s="16">
        <v>46130</v>
      </c>
      <c r="B85" s="8"/>
      <c r="C85" s="13" t="s">
        <v>32</v>
      </c>
      <c r="D85" s="18">
        <v>20</v>
      </c>
      <c r="E85" s="10">
        <f t="shared" si="3"/>
        <v>737</v>
      </c>
      <c r="F85" s="15"/>
    </row>
    <row r="86" spans="1:6" x14ac:dyDescent="0.3">
      <c r="A86" s="16">
        <v>46136</v>
      </c>
      <c r="B86" s="8"/>
      <c r="C86" s="13" t="s">
        <v>117</v>
      </c>
      <c r="D86" s="18">
        <v>5</v>
      </c>
      <c r="E86" s="10">
        <f t="shared" si="3"/>
        <v>742</v>
      </c>
      <c r="F86" s="15"/>
    </row>
    <row r="87" spans="1:6" x14ac:dyDescent="0.3">
      <c r="A87" s="16">
        <v>46136</v>
      </c>
      <c r="B87" s="8"/>
      <c r="C87" s="13" t="s">
        <v>44</v>
      </c>
      <c r="D87" s="18">
        <v>15</v>
      </c>
      <c r="E87" s="10">
        <f t="shared" si="3"/>
        <v>757</v>
      </c>
      <c r="F87" s="15"/>
    </row>
    <row r="88" spans="1:6" x14ac:dyDescent="0.3">
      <c r="A88" s="16">
        <v>46136</v>
      </c>
      <c r="B88" s="8"/>
      <c r="C88" s="13" t="s">
        <v>185</v>
      </c>
      <c r="D88" s="18">
        <v>5</v>
      </c>
      <c r="E88" s="10">
        <f t="shared" si="3"/>
        <v>762</v>
      </c>
      <c r="F88" s="15"/>
    </row>
    <row r="89" spans="1:6" x14ac:dyDescent="0.3">
      <c r="A89" s="16">
        <v>46136</v>
      </c>
      <c r="B89" s="8"/>
      <c r="C89" s="13" t="s">
        <v>187</v>
      </c>
      <c r="D89" s="18">
        <v>5</v>
      </c>
      <c r="E89" s="10">
        <f t="shared" si="3"/>
        <v>767</v>
      </c>
      <c r="F89" s="15"/>
    </row>
    <row r="90" spans="1:6" x14ac:dyDescent="0.3">
      <c r="A90" s="16">
        <v>46137</v>
      </c>
      <c r="B90" s="8"/>
      <c r="C90" s="13" t="s">
        <v>53</v>
      </c>
      <c r="D90" s="18">
        <v>10</v>
      </c>
      <c r="E90" s="10">
        <f t="shared" si="3"/>
        <v>777</v>
      </c>
      <c r="F90" s="15"/>
    </row>
    <row r="91" spans="1:6" x14ac:dyDescent="0.3">
      <c r="A91" s="16">
        <v>46137</v>
      </c>
      <c r="B91" s="8"/>
      <c r="C91" s="13" t="s">
        <v>114</v>
      </c>
      <c r="D91" s="18">
        <v>5</v>
      </c>
      <c r="E91" s="10">
        <f t="shared" si="3"/>
        <v>782</v>
      </c>
      <c r="F91" s="15"/>
    </row>
    <row r="92" spans="1:6" x14ac:dyDescent="0.3">
      <c r="A92" s="16">
        <v>46137</v>
      </c>
      <c r="B92" s="8"/>
      <c r="C92" s="13" t="s">
        <v>186</v>
      </c>
      <c r="D92" s="18">
        <v>5</v>
      </c>
      <c r="E92" s="10">
        <f t="shared" ref="E92:E120" si="4">E91+D92</f>
        <v>787</v>
      </c>
      <c r="F92" s="15"/>
    </row>
    <row r="93" spans="1:6" x14ac:dyDescent="0.3">
      <c r="A93" s="16">
        <v>46143</v>
      </c>
      <c r="B93" s="8"/>
      <c r="C93" s="13" t="s">
        <v>192</v>
      </c>
      <c r="D93" s="18">
        <v>5</v>
      </c>
      <c r="E93" s="10">
        <f t="shared" si="4"/>
        <v>792</v>
      </c>
      <c r="F93" s="15"/>
    </row>
    <row r="94" spans="1:6" x14ac:dyDescent="0.3">
      <c r="A94" s="16">
        <v>46143</v>
      </c>
      <c r="B94" s="8"/>
      <c r="C94" s="13" t="s">
        <v>193</v>
      </c>
      <c r="D94" s="18">
        <v>10</v>
      </c>
      <c r="E94" s="10">
        <f t="shared" si="4"/>
        <v>802</v>
      </c>
      <c r="F94" s="15"/>
    </row>
    <row r="95" spans="1:6" x14ac:dyDescent="0.3">
      <c r="A95" s="16">
        <v>46143</v>
      </c>
      <c r="B95" s="8"/>
      <c r="C95" s="13" t="s">
        <v>91</v>
      </c>
      <c r="D95" s="18">
        <v>5</v>
      </c>
      <c r="E95" s="10">
        <f t="shared" si="4"/>
        <v>807</v>
      </c>
      <c r="F95" s="15"/>
    </row>
    <row r="96" spans="1:6" x14ac:dyDescent="0.3">
      <c r="A96" s="16">
        <v>46143</v>
      </c>
      <c r="B96" s="8"/>
      <c r="C96" s="13" t="s">
        <v>120</v>
      </c>
      <c r="D96" s="18">
        <v>10</v>
      </c>
      <c r="E96" s="10">
        <f t="shared" si="4"/>
        <v>817</v>
      </c>
      <c r="F96" s="15"/>
    </row>
    <row r="97" spans="1:6" x14ac:dyDescent="0.3">
      <c r="A97" s="16">
        <v>46143</v>
      </c>
      <c r="B97" s="8"/>
      <c r="C97" s="13" t="s">
        <v>9</v>
      </c>
      <c r="D97" s="18">
        <v>5</v>
      </c>
      <c r="E97" s="10">
        <f t="shared" si="4"/>
        <v>822</v>
      </c>
      <c r="F97" s="15"/>
    </row>
    <row r="98" spans="1:6" x14ac:dyDescent="0.3">
      <c r="A98" s="16">
        <v>46143</v>
      </c>
      <c r="B98" s="8"/>
      <c r="C98" s="13" t="s">
        <v>16</v>
      </c>
      <c r="D98" s="18">
        <v>5</v>
      </c>
      <c r="E98" s="10">
        <f t="shared" si="4"/>
        <v>827</v>
      </c>
      <c r="F98" s="15"/>
    </row>
    <row r="99" spans="1:6" x14ac:dyDescent="0.3">
      <c r="A99" s="16">
        <v>46143</v>
      </c>
      <c r="B99" s="8"/>
      <c r="C99" s="13" t="s">
        <v>119</v>
      </c>
      <c r="D99" s="18">
        <v>5</v>
      </c>
      <c r="E99" s="10">
        <f t="shared" si="4"/>
        <v>832</v>
      </c>
      <c r="F99" s="15"/>
    </row>
    <row r="100" spans="1:6" x14ac:dyDescent="0.3">
      <c r="A100" s="16">
        <v>46143</v>
      </c>
      <c r="B100" s="8"/>
      <c r="C100" s="13" t="s">
        <v>139</v>
      </c>
      <c r="D100" s="18">
        <v>6</v>
      </c>
      <c r="E100" s="10">
        <f t="shared" si="4"/>
        <v>838</v>
      </c>
      <c r="F100" s="15"/>
    </row>
    <row r="101" spans="1:6" x14ac:dyDescent="0.3">
      <c r="A101" s="16">
        <v>46143</v>
      </c>
      <c r="B101" s="8"/>
      <c r="C101" s="13" t="s">
        <v>136</v>
      </c>
      <c r="D101" s="18">
        <v>5</v>
      </c>
      <c r="E101" s="10">
        <f t="shared" si="4"/>
        <v>843</v>
      </c>
      <c r="F101" s="15"/>
    </row>
    <row r="102" spans="1:6" x14ac:dyDescent="0.3">
      <c r="A102" s="16">
        <v>46143</v>
      </c>
      <c r="B102" s="8"/>
      <c r="C102" s="13" t="s">
        <v>110</v>
      </c>
      <c r="D102" s="18">
        <v>5</v>
      </c>
      <c r="E102" s="10">
        <f t="shared" si="4"/>
        <v>848</v>
      </c>
      <c r="F102" s="15"/>
    </row>
    <row r="103" spans="1:6" x14ac:dyDescent="0.3">
      <c r="A103" s="16">
        <v>46143</v>
      </c>
      <c r="B103" s="8"/>
      <c r="C103" s="13" t="s">
        <v>194</v>
      </c>
      <c r="D103" s="18">
        <v>21</v>
      </c>
      <c r="E103" s="10">
        <f t="shared" si="4"/>
        <v>869</v>
      </c>
      <c r="F103" s="15"/>
    </row>
    <row r="104" spans="1:6" x14ac:dyDescent="0.3">
      <c r="A104" s="16">
        <v>46143</v>
      </c>
      <c r="B104" s="8"/>
      <c r="C104" s="13" t="s">
        <v>99</v>
      </c>
      <c r="D104" s="18">
        <v>10</v>
      </c>
      <c r="E104" s="10">
        <f t="shared" si="4"/>
        <v>879</v>
      </c>
      <c r="F104" s="15"/>
    </row>
    <row r="105" spans="1:6" x14ac:dyDescent="0.3">
      <c r="A105" s="16">
        <v>46143</v>
      </c>
      <c r="B105" s="8"/>
      <c r="C105" s="13" t="s">
        <v>109</v>
      </c>
      <c r="D105" s="18">
        <v>5</v>
      </c>
      <c r="E105" s="10">
        <f t="shared" si="4"/>
        <v>884</v>
      </c>
      <c r="F105" s="15"/>
    </row>
    <row r="106" spans="1:6" x14ac:dyDescent="0.3">
      <c r="A106" s="16">
        <v>46144</v>
      </c>
      <c r="B106" s="8"/>
      <c r="C106" s="13" t="s">
        <v>92</v>
      </c>
      <c r="D106" s="18">
        <v>10</v>
      </c>
      <c r="E106" s="10">
        <f t="shared" si="4"/>
        <v>894</v>
      </c>
      <c r="F106" s="15"/>
    </row>
    <row r="107" spans="1:6" x14ac:dyDescent="0.3">
      <c r="A107" s="16">
        <v>46144</v>
      </c>
      <c r="B107" s="8"/>
      <c r="C107" s="13" t="s">
        <v>111</v>
      </c>
      <c r="D107" s="18">
        <v>10</v>
      </c>
      <c r="E107" s="10">
        <f t="shared" si="4"/>
        <v>904</v>
      </c>
      <c r="F107" s="15"/>
    </row>
    <row r="108" spans="1:6" x14ac:dyDescent="0.3">
      <c r="A108" s="16">
        <v>46144</v>
      </c>
      <c r="B108" s="8"/>
      <c r="C108" s="13" t="s">
        <v>30</v>
      </c>
      <c r="D108" s="18">
        <v>5</v>
      </c>
      <c r="E108" s="10">
        <f t="shared" si="4"/>
        <v>909</v>
      </c>
      <c r="F108" s="15"/>
    </row>
    <row r="109" spans="1:6" x14ac:dyDescent="0.3">
      <c r="A109" s="16">
        <v>46144</v>
      </c>
      <c r="B109" s="8"/>
      <c r="C109" s="13" t="s">
        <v>198</v>
      </c>
      <c r="D109" s="18">
        <v>10</v>
      </c>
      <c r="E109" s="10">
        <f t="shared" si="4"/>
        <v>919</v>
      </c>
      <c r="F109" s="15"/>
    </row>
    <row r="110" spans="1:6" x14ac:dyDescent="0.3">
      <c r="A110" s="16">
        <v>46144</v>
      </c>
      <c r="B110" s="8"/>
      <c r="C110" s="13" t="s">
        <v>208</v>
      </c>
      <c r="D110" s="18">
        <v>10</v>
      </c>
      <c r="E110" s="10">
        <f t="shared" si="4"/>
        <v>929</v>
      </c>
      <c r="F110" s="15"/>
    </row>
    <row r="111" spans="1:6" x14ac:dyDescent="0.3">
      <c r="A111" s="16">
        <v>46150</v>
      </c>
      <c r="B111" s="8"/>
      <c r="C111" s="13" t="s">
        <v>117</v>
      </c>
      <c r="D111" s="18">
        <v>5</v>
      </c>
      <c r="E111" s="10">
        <f t="shared" si="4"/>
        <v>934</v>
      </c>
      <c r="F111" s="15"/>
    </row>
    <row r="112" spans="1:6" x14ac:dyDescent="0.3">
      <c r="A112" s="16">
        <v>46150</v>
      </c>
      <c r="B112" s="8"/>
      <c r="C112" s="13" t="s">
        <v>10</v>
      </c>
      <c r="D112" s="18">
        <v>5</v>
      </c>
      <c r="E112" s="10">
        <f t="shared" si="4"/>
        <v>939</v>
      </c>
      <c r="F112" s="15"/>
    </row>
    <row r="113" spans="1:6" x14ac:dyDescent="0.3">
      <c r="A113" s="16">
        <v>46150</v>
      </c>
      <c r="B113" s="8"/>
      <c r="C113" s="13" t="s">
        <v>172</v>
      </c>
      <c r="D113" s="18">
        <v>5</v>
      </c>
      <c r="E113" s="10">
        <f t="shared" si="4"/>
        <v>944</v>
      </c>
      <c r="F113" s="15"/>
    </row>
    <row r="114" spans="1:6" x14ac:dyDescent="0.3">
      <c r="A114" s="16">
        <v>46150</v>
      </c>
      <c r="B114" s="8"/>
      <c r="C114" s="13" t="s">
        <v>209</v>
      </c>
      <c r="D114" s="18">
        <v>15</v>
      </c>
      <c r="E114" s="10">
        <f t="shared" si="4"/>
        <v>959</v>
      </c>
      <c r="F114" s="15"/>
    </row>
    <row r="115" spans="1:6" x14ac:dyDescent="0.3">
      <c r="A115" s="16">
        <v>46151</v>
      </c>
      <c r="B115" s="8"/>
      <c r="C115" s="13" t="s">
        <v>176</v>
      </c>
      <c r="D115" s="18">
        <v>10</v>
      </c>
      <c r="E115" s="10">
        <f t="shared" si="4"/>
        <v>969</v>
      </c>
      <c r="F115" s="15"/>
    </row>
    <row r="116" spans="1:6" x14ac:dyDescent="0.3">
      <c r="A116" s="16">
        <v>46151</v>
      </c>
      <c r="B116" s="8"/>
      <c r="C116" s="13" t="s">
        <v>146</v>
      </c>
      <c r="D116" s="18">
        <v>5</v>
      </c>
      <c r="E116" s="10">
        <f t="shared" si="4"/>
        <v>974</v>
      </c>
      <c r="F116" s="15"/>
    </row>
    <row r="117" spans="1:6" x14ac:dyDescent="0.3">
      <c r="A117" s="16">
        <v>46151</v>
      </c>
      <c r="B117" s="8"/>
      <c r="C117" s="13" t="s">
        <v>89</v>
      </c>
      <c r="D117" s="18">
        <v>7</v>
      </c>
      <c r="E117" s="10">
        <f t="shared" si="4"/>
        <v>981</v>
      </c>
      <c r="F117" s="15"/>
    </row>
    <row r="118" spans="1:6" x14ac:dyDescent="0.3">
      <c r="A118" s="16">
        <v>46151</v>
      </c>
      <c r="B118" s="8"/>
      <c r="C118" s="13" t="s">
        <v>45</v>
      </c>
      <c r="D118" s="18">
        <v>60</v>
      </c>
      <c r="E118" s="10">
        <f t="shared" si="4"/>
        <v>1041</v>
      </c>
      <c r="F118" s="15"/>
    </row>
    <row r="119" spans="1:6" x14ac:dyDescent="0.3">
      <c r="A119" s="16">
        <v>46151</v>
      </c>
      <c r="B119" s="8"/>
      <c r="C119" s="26" t="s">
        <v>134</v>
      </c>
      <c r="D119" s="18">
        <v>2</v>
      </c>
      <c r="E119" s="10">
        <f t="shared" si="4"/>
        <v>1043</v>
      </c>
      <c r="F119" s="15"/>
    </row>
    <row r="120" spans="1:6" ht="15" thickBot="1" x14ac:dyDescent="0.35">
      <c r="A120" s="16">
        <v>46151</v>
      </c>
      <c r="B120" s="8"/>
      <c r="C120" s="26" t="s">
        <v>56</v>
      </c>
      <c r="D120" s="18">
        <v>40</v>
      </c>
      <c r="E120" s="10">
        <f t="shared" si="4"/>
        <v>1083</v>
      </c>
      <c r="F120" s="15"/>
    </row>
    <row r="121" spans="1:6" ht="18.75" customHeight="1" thickBot="1" x14ac:dyDescent="0.35">
      <c r="A121" s="327" t="s">
        <v>63</v>
      </c>
      <c r="B121" s="328"/>
      <c r="C121" s="27"/>
      <c r="D121" s="329">
        <f>SUM(D63:D120)+D62</f>
        <v>1083</v>
      </c>
      <c r="E121" s="330"/>
      <c r="F121" s="47"/>
    </row>
    <row r="122" spans="1:6" ht="14.25" customHeight="1" thickBot="1" x14ac:dyDescent="0.35">
      <c r="A122" s="42"/>
      <c r="B122" s="42"/>
      <c r="C122" s="43"/>
      <c r="D122" s="44"/>
      <c r="E122" s="44"/>
      <c r="F122" s="44"/>
    </row>
    <row r="123" spans="1:6" ht="15" thickBot="1" x14ac:dyDescent="0.35">
      <c r="A123" s="3" t="s">
        <v>59</v>
      </c>
      <c r="B123" s="4" t="s">
        <v>60</v>
      </c>
      <c r="C123" s="5" t="s">
        <v>61</v>
      </c>
      <c r="D123" s="22" t="s">
        <v>64</v>
      </c>
      <c r="E123" s="7" t="s">
        <v>0</v>
      </c>
      <c r="F123" s="7" t="s">
        <v>65</v>
      </c>
    </row>
    <row r="124" spans="1:6" ht="18.75" customHeight="1" thickBot="1" x14ac:dyDescent="0.35">
      <c r="A124" s="324" t="s">
        <v>66</v>
      </c>
      <c r="B124" s="325"/>
      <c r="C124" s="326"/>
      <c r="D124" s="245">
        <f>D121</f>
        <v>1083</v>
      </c>
      <c r="E124" s="246"/>
      <c r="F124" s="28"/>
    </row>
    <row r="125" spans="1:6" x14ac:dyDescent="0.3">
      <c r="A125" s="158">
        <v>46157</v>
      </c>
      <c r="B125" s="113"/>
      <c r="C125" s="114" t="s">
        <v>217</v>
      </c>
      <c r="D125" s="115">
        <v>5</v>
      </c>
      <c r="E125" s="116">
        <f>D124+D125</f>
        <v>1088</v>
      </c>
      <c r="F125" s="116" t="s">
        <v>78</v>
      </c>
    </row>
    <row r="126" spans="1:6" x14ac:dyDescent="0.3">
      <c r="A126" s="158">
        <v>46157</v>
      </c>
      <c r="B126" s="8"/>
      <c r="C126" s="17" t="s">
        <v>218</v>
      </c>
      <c r="D126" s="18">
        <v>10</v>
      </c>
      <c r="E126" s="10">
        <f>E125+D126</f>
        <v>1098</v>
      </c>
      <c r="F126" s="15"/>
    </row>
    <row r="127" spans="1:6" x14ac:dyDescent="0.3">
      <c r="A127" s="158">
        <v>46157</v>
      </c>
      <c r="B127" s="8"/>
      <c r="C127" s="17" t="s">
        <v>219</v>
      </c>
      <c r="D127" s="18">
        <v>10</v>
      </c>
      <c r="E127" s="10">
        <f t="shared" ref="E127:E173" si="5">E126+D127</f>
        <v>1108</v>
      </c>
      <c r="F127" s="15"/>
    </row>
    <row r="128" spans="1:6" x14ac:dyDescent="0.3">
      <c r="A128" s="158">
        <v>46158</v>
      </c>
      <c r="B128" s="8"/>
      <c r="C128" s="17" t="s">
        <v>220</v>
      </c>
      <c r="D128" s="18">
        <v>60</v>
      </c>
      <c r="E128" s="10">
        <f t="shared" si="5"/>
        <v>1168</v>
      </c>
      <c r="F128" s="15"/>
    </row>
    <row r="129" spans="1:6" x14ac:dyDescent="0.3">
      <c r="A129" s="23">
        <v>46164</v>
      </c>
      <c r="B129" s="8"/>
      <c r="C129" s="17" t="s">
        <v>110</v>
      </c>
      <c r="D129" s="18">
        <v>5</v>
      </c>
      <c r="E129" s="10">
        <f t="shared" si="5"/>
        <v>1173</v>
      </c>
      <c r="F129" s="15"/>
    </row>
    <row r="130" spans="1:6" x14ac:dyDescent="0.3">
      <c r="A130" s="23">
        <v>46164</v>
      </c>
      <c r="B130" s="8"/>
      <c r="C130" s="17" t="s">
        <v>114</v>
      </c>
      <c r="D130" s="18">
        <v>5</v>
      </c>
      <c r="E130" s="10">
        <f t="shared" si="5"/>
        <v>1178</v>
      </c>
      <c r="F130" s="15"/>
    </row>
    <row r="131" spans="1:6" x14ac:dyDescent="0.3">
      <c r="A131" s="23">
        <v>46164</v>
      </c>
      <c r="B131" s="8"/>
      <c r="C131" s="17" t="s">
        <v>107</v>
      </c>
      <c r="D131" s="18">
        <v>5</v>
      </c>
      <c r="E131" s="10">
        <f t="shared" si="5"/>
        <v>1183</v>
      </c>
      <c r="F131" s="15"/>
    </row>
    <row r="132" spans="1:6" x14ac:dyDescent="0.3">
      <c r="A132" s="23">
        <v>46165</v>
      </c>
      <c r="B132" s="8"/>
      <c r="C132" s="17" t="s">
        <v>176</v>
      </c>
      <c r="D132" s="18">
        <v>10</v>
      </c>
      <c r="E132" s="10">
        <f t="shared" si="5"/>
        <v>1193</v>
      </c>
      <c r="F132" s="15"/>
    </row>
    <row r="133" spans="1:6" x14ac:dyDescent="0.3">
      <c r="A133" s="23">
        <v>46165</v>
      </c>
      <c r="B133" s="8"/>
      <c r="C133" s="17" t="s">
        <v>48</v>
      </c>
      <c r="D133" s="18">
        <v>10</v>
      </c>
      <c r="E133" s="10">
        <f t="shared" si="5"/>
        <v>1203</v>
      </c>
      <c r="F133" s="15"/>
    </row>
    <row r="134" spans="1:6" x14ac:dyDescent="0.3">
      <c r="A134" s="23">
        <v>46165</v>
      </c>
      <c r="B134" s="8"/>
      <c r="C134" s="26" t="s">
        <v>30</v>
      </c>
      <c r="D134" s="18">
        <v>5</v>
      </c>
      <c r="E134" s="10">
        <f t="shared" si="5"/>
        <v>1208</v>
      </c>
      <c r="F134" s="15"/>
    </row>
    <row r="135" spans="1:6" x14ac:dyDescent="0.3">
      <c r="A135" s="16">
        <v>46171</v>
      </c>
      <c r="B135" s="8"/>
      <c r="C135" s="17" t="s">
        <v>139</v>
      </c>
      <c r="D135" s="18">
        <v>6</v>
      </c>
      <c r="E135" s="10">
        <f t="shared" si="5"/>
        <v>1214</v>
      </c>
      <c r="F135" s="15"/>
    </row>
    <row r="136" spans="1:6" x14ac:dyDescent="0.3">
      <c r="A136" s="16">
        <v>46171</v>
      </c>
      <c r="B136" s="8"/>
      <c r="C136" s="17" t="s">
        <v>5</v>
      </c>
      <c r="D136" s="18">
        <v>5</v>
      </c>
      <c r="E136" s="10">
        <f t="shared" si="5"/>
        <v>1219</v>
      </c>
      <c r="F136" s="15"/>
    </row>
    <row r="137" spans="1:6" x14ac:dyDescent="0.3">
      <c r="A137" s="16">
        <v>46171</v>
      </c>
      <c r="B137" s="8"/>
      <c r="C137" s="17" t="s">
        <v>239</v>
      </c>
      <c r="D137" s="18">
        <v>5</v>
      </c>
      <c r="E137" s="10">
        <f t="shared" si="5"/>
        <v>1224</v>
      </c>
      <c r="F137" s="15"/>
    </row>
    <row r="138" spans="1:6" x14ac:dyDescent="0.3">
      <c r="A138" s="16">
        <v>46171</v>
      </c>
      <c r="B138" s="8"/>
      <c r="C138" s="13" t="s">
        <v>240</v>
      </c>
      <c r="D138" s="18">
        <v>5</v>
      </c>
      <c r="E138" s="10">
        <f t="shared" si="5"/>
        <v>1229</v>
      </c>
      <c r="F138" s="15"/>
    </row>
    <row r="139" spans="1:6" x14ac:dyDescent="0.3">
      <c r="A139" s="16">
        <v>46171</v>
      </c>
      <c r="B139" s="8"/>
      <c r="C139" s="13" t="s">
        <v>241</v>
      </c>
      <c r="D139" s="18">
        <v>5</v>
      </c>
      <c r="E139" s="10">
        <f t="shared" si="5"/>
        <v>1234</v>
      </c>
      <c r="F139" s="15"/>
    </row>
    <row r="140" spans="1:6" x14ac:dyDescent="0.3">
      <c r="A140" s="16">
        <v>46172</v>
      </c>
      <c r="B140" s="8"/>
      <c r="C140" s="13" t="s">
        <v>53</v>
      </c>
      <c r="D140" s="18">
        <v>5</v>
      </c>
      <c r="E140" s="10">
        <f t="shared" si="5"/>
        <v>1239</v>
      </c>
      <c r="F140" s="15"/>
    </row>
    <row r="141" spans="1:6" x14ac:dyDescent="0.3">
      <c r="A141" s="16">
        <v>46172</v>
      </c>
      <c r="B141" s="8"/>
      <c r="C141" s="13" t="s">
        <v>49</v>
      </c>
      <c r="D141" s="18">
        <v>5</v>
      </c>
      <c r="E141" s="10">
        <f t="shared" si="5"/>
        <v>1244</v>
      </c>
      <c r="F141" s="15"/>
    </row>
    <row r="142" spans="1:6" x14ac:dyDescent="0.3">
      <c r="A142" s="16">
        <v>46172</v>
      </c>
      <c r="B142" s="8"/>
      <c r="C142" s="13" t="s">
        <v>242</v>
      </c>
      <c r="D142" s="18">
        <v>10</v>
      </c>
      <c r="E142" s="10">
        <f t="shared" si="5"/>
        <v>1254</v>
      </c>
      <c r="F142" s="15"/>
    </row>
    <row r="143" spans="1:6" x14ac:dyDescent="0.3">
      <c r="A143" s="16">
        <v>46172</v>
      </c>
      <c r="B143" s="8"/>
      <c r="C143" s="26" t="s">
        <v>14</v>
      </c>
      <c r="D143" s="18">
        <v>10</v>
      </c>
      <c r="E143" s="10">
        <f t="shared" si="5"/>
        <v>1264</v>
      </c>
      <c r="F143" s="15"/>
    </row>
    <row r="144" spans="1:6" x14ac:dyDescent="0.3">
      <c r="A144" s="16">
        <v>46172</v>
      </c>
      <c r="B144" s="8"/>
      <c r="C144" s="13" t="s">
        <v>4</v>
      </c>
      <c r="D144" s="18">
        <v>10</v>
      </c>
      <c r="E144" s="10">
        <f t="shared" si="5"/>
        <v>1274</v>
      </c>
      <c r="F144" s="15"/>
    </row>
    <row r="145" spans="1:6" x14ac:dyDescent="0.3">
      <c r="A145" s="16">
        <v>46172</v>
      </c>
      <c r="B145" s="8"/>
      <c r="C145" s="13" t="s">
        <v>232</v>
      </c>
      <c r="D145" s="18">
        <v>5</v>
      </c>
      <c r="E145" s="10">
        <f t="shared" si="5"/>
        <v>1279</v>
      </c>
      <c r="F145" s="15"/>
    </row>
    <row r="146" spans="1:6" x14ac:dyDescent="0.3">
      <c r="A146" s="16">
        <v>46172</v>
      </c>
      <c r="B146" s="8"/>
      <c r="C146" s="13" t="s">
        <v>99</v>
      </c>
      <c r="D146" s="18">
        <v>5</v>
      </c>
      <c r="E146" s="10">
        <f t="shared" si="5"/>
        <v>1284</v>
      </c>
      <c r="F146" s="15"/>
    </row>
    <row r="147" spans="1:6" x14ac:dyDescent="0.3">
      <c r="A147" s="16">
        <v>46172</v>
      </c>
      <c r="B147" s="8"/>
      <c r="C147" s="13" t="s">
        <v>147</v>
      </c>
      <c r="D147" s="18">
        <v>5</v>
      </c>
      <c r="E147" s="10">
        <f t="shared" si="5"/>
        <v>1289</v>
      </c>
      <c r="F147" s="15"/>
    </row>
    <row r="148" spans="1:6" x14ac:dyDescent="0.3">
      <c r="A148" s="16">
        <v>46172</v>
      </c>
      <c r="B148" s="8"/>
      <c r="C148" s="13" t="s">
        <v>243</v>
      </c>
      <c r="D148" s="18">
        <v>5</v>
      </c>
      <c r="E148" s="10">
        <f t="shared" si="5"/>
        <v>1294</v>
      </c>
      <c r="F148" s="15"/>
    </row>
    <row r="149" spans="1:6" x14ac:dyDescent="0.3">
      <c r="A149" s="16">
        <v>46172</v>
      </c>
      <c r="B149" s="8"/>
      <c r="C149" s="13" t="s">
        <v>142</v>
      </c>
      <c r="D149" s="18">
        <v>10</v>
      </c>
      <c r="E149" s="10">
        <f t="shared" si="5"/>
        <v>1304</v>
      </c>
      <c r="F149" s="15"/>
    </row>
    <row r="150" spans="1:6" x14ac:dyDescent="0.3">
      <c r="A150" s="16">
        <v>46172</v>
      </c>
      <c r="B150" s="8"/>
      <c r="C150" s="13" t="s">
        <v>150</v>
      </c>
      <c r="D150" s="18">
        <v>30</v>
      </c>
      <c r="E150" s="10">
        <f t="shared" si="5"/>
        <v>1334</v>
      </c>
      <c r="F150" s="15"/>
    </row>
    <row r="151" spans="1:6" x14ac:dyDescent="0.3">
      <c r="A151" s="16"/>
      <c r="B151" s="8"/>
      <c r="C151" s="13"/>
      <c r="D151" s="18"/>
      <c r="E151" s="10">
        <f t="shared" si="5"/>
        <v>1334</v>
      </c>
      <c r="F151" s="15"/>
    </row>
    <row r="152" spans="1:6" x14ac:dyDescent="0.3">
      <c r="A152" s="16"/>
      <c r="B152" s="8"/>
      <c r="C152" s="13"/>
      <c r="D152" s="18"/>
      <c r="E152" s="10">
        <f t="shared" si="5"/>
        <v>1334</v>
      </c>
      <c r="F152" s="15"/>
    </row>
    <row r="153" spans="1:6" x14ac:dyDescent="0.3">
      <c r="A153" s="16"/>
      <c r="B153" s="8"/>
      <c r="C153" s="13"/>
      <c r="D153" s="18"/>
      <c r="E153" s="10">
        <f t="shared" si="5"/>
        <v>1334</v>
      </c>
      <c r="F153" s="15"/>
    </row>
    <row r="154" spans="1:6" x14ac:dyDescent="0.3">
      <c r="A154" s="16"/>
      <c r="B154" s="8"/>
      <c r="C154" s="13"/>
      <c r="D154" s="18"/>
      <c r="E154" s="10">
        <f t="shared" si="5"/>
        <v>1334</v>
      </c>
      <c r="F154" s="15"/>
    </row>
    <row r="155" spans="1:6" x14ac:dyDescent="0.3">
      <c r="A155" s="16"/>
      <c r="B155" s="8"/>
      <c r="C155" s="13"/>
      <c r="D155" s="18"/>
      <c r="E155" s="10">
        <f t="shared" si="5"/>
        <v>1334</v>
      </c>
      <c r="F155" s="15"/>
    </row>
    <row r="156" spans="1:6" x14ac:dyDescent="0.3">
      <c r="A156" s="16"/>
      <c r="B156" s="8"/>
      <c r="C156" s="13"/>
      <c r="D156" s="18"/>
      <c r="E156" s="10">
        <f t="shared" si="5"/>
        <v>1334</v>
      </c>
      <c r="F156" s="15"/>
    </row>
    <row r="157" spans="1:6" x14ac:dyDescent="0.3">
      <c r="A157" s="16"/>
      <c r="B157" s="8"/>
      <c r="C157" s="13"/>
      <c r="D157" s="18"/>
      <c r="E157" s="10">
        <f t="shared" si="5"/>
        <v>1334</v>
      </c>
      <c r="F157" s="15"/>
    </row>
    <row r="158" spans="1:6" x14ac:dyDescent="0.3">
      <c r="A158" s="16"/>
      <c r="B158" s="8"/>
      <c r="C158" s="13"/>
      <c r="D158" s="18"/>
      <c r="E158" s="10">
        <f t="shared" si="5"/>
        <v>1334</v>
      </c>
      <c r="F158" s="15"/>
    </row>
    <row r="159" spans="1:6" x14ac:dyDescent="0.3">
      <c r="A159" s="16"/>
      <c r="B159" s="8"/>
      <c r="C159" s="13"/>
      <c r="D159" s="18"/>
      <c r="E159" s="10">
        <f t="shared" si="5"/>
        <v>1334</v>
      </c>
      <c r="F159" s="15"/>
    </row>
    <row r="160" spans="1:6" x14ac:dyDescent="0.3">
      <c r="A160" s="11"/>
      <c r="B160" s="8"/>
      <c r="C160" s="13"/>
      <c r="D160" s="18"/>
      <c r="E160" s="10">
        <f t="shared" si="5"/>
        <v>1334</v>
      </c>
      <c r="F160" s="15"/>
    </row>
    <row r="161" spans="1:6" x14ac:dyDescent="0.3">
      <c r="A161" s="11"/>
      <c r="B161" s="8"/>
      <c r="C161" s="13"/>
      <c r="D161" s="18"/>
      <c r="E161" s="10">
        <f t="shared" si="5"/>
        <v>1334</v>
      </c>
      <c r="F161" s="15"/>
    </row>
    <row r="162" spans="1:6" x14ac:dyDescent="0.3">
      <c r="A162" s="11"/>
      <c r="B162" s="8"/>
      <c r="C162" s="13"/>
      <c r="D162" s="18"/>
      <c r="E162" s="10">
        <f t="shared" si="5"/>
        <v>1334</v>
      </c>
      <c r="F162" s="15"/>
    </row>
    <row r="163" spans="1:6" x14ac:dyDescent="0.3">
      <c r="A163" s="11"/>
      <c r="B163" s="8"/>
      <c r="C163" s="13"/>
      <c r="D163" s="18"/>
      <c r="E163" s="10">
        <f t="shared" si="5"/>
        <v>1334</v>
      </c>
      <c r="F163" s="15"/>
    </row>
    <row r="164" spans="1:6" x14ac:dyDescent="0.3">
      <c r="A164" s="11"/>
      <c r="B164" s="8"/>
      <c r="C164" s="13"/>
      <c r="D164" s="18"/>
      <c r="E164" s="10">
        <f t="shared" si="5"/>
        <v>1334</v>
      </c>
      <c r="F164" s="15"/>
    </row>
    <row r="165" spans="1:6" x14ac:dyDescent="0.3">
      <c r="A165" s="11"/>
      <c r="B165" s="8"/>
      <c r="C165" s="13"/>
      <c r="D165" s="18"/>
      <c r="E165" s="10">
        <f t="shared" si="5"/>
        <v>1334</v>
      </c>
      <c r="F165" s="15"/>
    </row>
    <row r="166" spans="1:6" x14ac:dyDescent="0.3">
      <c r="A166" s="11"/>
      <c r="B166" s="8"/>
      <c r="C166" s="13"/>
      <c r="D166" s="18"/>
      <c r="E166" s="10">
        <f t="shared" si="5"/>
        <v>1334</v>
      </c>
      <c r="F166" s="15"/>
    </row>
    <row r="167" spans="1:6" x14ac:dyDescent="0.3">
      <c r="A167" s="11"/>
      <c r="B167" s="8"/>
      <c r="C167" s="13"/>
      <c r="D167" s="18"/>
      <c r="E167" s="10">
        <f t="shared" si="5"/>
        <v>1334</v>
      </c>
      <c r="F167" s="15"/>
    </row>
    <row r="168" spans="1:6" x14ac:dyDescent="0.3">
      <c r="A168" s="11"/>
      <c r="B168" s="8"/>
      <c r="C168" s="13"/>
      <c r="D168" s="18"/>
      <c r="E168" s="10">
        <f t="shared" si="5"/>
        <v>1334</v>
      </c>
      <c r="F168" s="15"/>
    </row>
    <row r="169" spans="1:6" x14ac:dyDescent="0.3">
      <c r="A169" s="11"/>
      <c r="B169" s="8"/>
      <c r="C169" s="13"/>
      <c r="D169" s="18"/>
      <c r="E169" s="10">
        <f t="shared" si="5"/>
        <v>1334</v>
      </c>
      <c r="F169" s="15"/>
    </row>
    <row r="170" spans="1:6" x14ac:dyDescent="0.3">
      <c r="A170" s="11"/>
      <c r="B170" s="8"/>
      <c r="C170" s="13"/>
      <c r="D170" s="18"/>
      <c r="E170" s="10">
        <f t="shared" si="5"/>
        <v>1334</v>
      </c>
      <c r="F170" s="15"/>
    </row>
    <row r="171" spans="1:6" x14ac:dyDescent="0.3">
      <c r="A171" s="11"/>
      <c r="B171" s="8"/>
      <c r="C171" s="13"/>
      <c r="D171" s="18"/>
      <c r="E171" s="10">
        <f t="shared" si="5"/>
        <v>1334</v>
      </c>
      <c r="F171" s="15"/>
    </row>
    <row r="172" spans="1:6" x14ac:dyDescent="0.3">
      <c r="A172" s="11"/>
      <c r="B172" s="8"/>
      <c r="C172" s="13"/>
      <c r="D172" s="18"/>
      <c r="E172" s="10">
        <f t="shared" si="5"/>
        <v>1334</v>
      </c>
      <c r="F172" s="15"/>
    </row>
    <row r="173" spans="1:6" x14ac:dyDescent="0.3">
      <c r="A173" s="45"/>
      <c r="B173" s="8"/>
      <c r="C173" s="26"/>
      <c r="D173" s="18"/>
      <c r="E173" s="10">
        <f t="shared" si="5"/>
        <v>1334</v>
      </c>
      <c r="F173" s="15"/>
    </row>
    <row r="174" spans="1:6" x14ac:dyDescent="0.3">
      <c r="A174" s="45"/>
      <c r="B174" s="8"/>
      <c r="C174" s="26"/>
      <c r="D174" s="18"/>
      <c r="E174" s="10">
        <f t="shared" ref="E174:E181" si="6">E173+D174</f>
        <v>1334</v>
      </c>
      <c r="F174" s="15"/>
    </row>
    <row r="175" spans="1:6" x14ac:dyDescent="0.3">
      <c r="A175" s="45"/>
      <c r="B175" s="8"/>
      <c r="C175" s="26"/>
      <c r="D175" s="18"/>
      <c r="E175" s="10">
        <f t="shared" si="6"/>
        <v>1334</v>
      </c>
      <c r="F175" s="15"/>
    </row>
    <row r="176" spans="1:6" x14ac:dyDescent="0.3">
      <c r="A176" s="45"/>
      <c r="B176" s="8"/>
      <c r="C176" s="26"/>
      <c r="D176" s="18"/>
      <c r="E176" s="10">
        <f t="shared" si="6"/>
        <v>1334</v>
      </c>
      <c r="F176" s="15"/>
    </row>
    <row r="177" spans="1:6" x14ac:dyDescent="0.3">
      <c r="A177" s="45"/>
      <c r="B177" s="8"/>
      <c r="C177" s="26"/>
      <c r="D177" s="18"/>
      <c r="E177" s="10">
        <f t="shared" si="6"/>
        <v>1334</v>
      </c>
      <c r="F177" s="15"/>
    </row>
    <row r="178" spans="1:6" x14ac:dyDescent="0.3">
      <c r="A178" s="45"/>
      <c r="B178" s="8"/>
      <c r="C178" s="26"/>
      <c r="D178" s="18"/>
      <c r="E178" s="10">
        <f t="shared" si="6"/>
        <v>1334</v>
      </c>
      <c r="F178" s="15"/>
    </row>
    <row r="179" spans="1:6" x14ac:dyDescent="0.3">
      <c r="A179" s="45"/>
      <c r="B179" s="8"/>
      <c r="C179" s="26"/>
      <c r="D179" s="18"/>
      <c r="E179" s="10">
        <f t="shared" si="6"/>
        <v>1334</v>
      </c>
      <c r="F179" s="15"/>
    </row>
    <row r="180" spans="1:6" x14ac:dyDescent="0.3">
      <c r="A180" s="45"/>
      <c r="B180" s="8"/>
      <c r="C180" s="26"/>
      <c r="D180" s="18"/>
      <c r="E180" s="10">
        <f t="shared" si="6"/>
        <v>1334</v>
      </c>
      <c r="F180" s="15"/>
    </row>
    <row r="181" spans="1:6" ht="15" thickBot="1" x14ac:dyDescent="0.35">
      <c r="A181" s="117"/>
      <c r="B181" s="118"/>
      <c r="C181" s="119"/>
      <c r="D181" s="120"/>
      <c r="E181" s="121">
        <f t="shared" si="6"/>
        <v>1334</v>
      </c>
      <c r="F181" s="122"/>
    </row>
    <row r="182" spans="1:6" ht="18.75" customHeight="1" thickBot="1" x14ac:dyDescent="0.35">
      <c r="A182" s="322" t="s">
        <v>63</v>
      </c>
      <c r="B182" s="323"/>
      <c r="C182" s="112"/>
      <c r="D182" s="329">
        <f>SUM(D125:D181)+D124</f>
        <v>1334</v>
      </c>
      <c r="E182" s="330"/>
      <c r="F182" s="331"/>
    </row>
  </sheetData>
  <mergeCells count="11">
    <mergeCell ref="A2:C2"/>
    <mergeCell ref="A182:B182"/>
    <mergeCell ref="A124:C124"/>
    <mergeCell ref="A121:B121"/>
    <mergeCell ref="D182:F182"/>
    <mergeCell ref="A62:C62"/>
    <mergeCell ref="A59:B59"/>
    <mergeCell ref="D5:E5"/>
    <mergeCell ref="A5:C5"/>
    <mergeCell ref="D59:E59"/>
    <mergeCell ref="D121:E121"/>
  </mergeCells>
  <pageMargins left="0.25" right="0.25" top="0" bottom="0" header="0.3" footer="0.3"/>
  <pageSetup scale="8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5"/>
  <sheetViews>
    <sheetView showGridLines="0" topLeftCell="A32" workbookViewId="0">
      <selection activeCell="H53" sqref="H53"/>
    </sheetView>
  </sheetViews>
  <sheetFormatPr defaultRowHeight="14.4" x14ac:dyDescent="0.3"/>
  <cols>
    <col min="1" max="1" width="10.33203125" style="19" customWidth="1"/>
    <col min="2" max="2" width="8.33203125" customWidth="1"/>
    <col min="3" max="3" width="30.6640625" style="19" customWidth="1"/>
    <col min="4" max="5" width="10.88671875" style="20" customWidth="1"/>
    <col min="8" max="8" width="12" customWidth="1"/>
  </cols>
  <sheetData>
    <row r="1" spans="1:8" ht="15" customHeight="1" thickBot="1" x14ac:dyDescent="0.35">
      <c r="A1" s="3" t="s">
        <v>59</v>
      </c>
      <c r="B1" s="4" t="s">
        <v>60</v>
      </c>
      <c r="C1" s="235" t="s">
        <v>61</v>
      </c>
      <c r="D1" s="6" t="s">
        <v>62</v>
      </c>
      <c r="E1" s="7" t="s">
        <v>0</v>
      </c>
    </row>
    <row r="2" spans="1:8" ht="27.75" customHeight="1" thickBot="1" x14ac:dyDescent="0.35">
      <c r="A2" s="335"/>
      <c r="B2" s="336"/>
      <c r="C2" s="337"/>
      <c r="D2" s="9"/>
      <c r="E2" s="107"/>
      <c r="G2" s="142" t="s">
        <v>76</v>
      </c>
      <c r="H2" s="143">
        <f>D62</f>
        <v>258</v>
      </c>
    </row>
    <row r="3" spans="1:8" ht="11.25" customHeight="1" thickBot="1" x14ac:dyDescent="0.35">
      <c r="A3" s="105"/>
      <c r="B3" s="105"/>
      <c r="C3" s="236"/>
      <c r="D3" s="105"/>
      <c r="E3" s="105"/>
    </row>
    <row r="4" spans="1:8" ht="18.75" customHeight="1" thickBot="1" x14ac:dyDescent="0.35">
      <c r="A4" s="3" t="s">
        <v>59</v>
      </c>
      <c r="B4" s="4" t="s">
        <v>60</v>
      </c>
      <c r="C4" s="235" t="s">
        <v>61</v>
      </c>
      <c r="D4" s="22"/>
      <c r="E4" s="7" t="s">
        <v>0</v>
      </c>
    </row>
    <row r="5" spans="1:8" ht="15.75" customHeight="1" x14ac:dyDescent="0.3">
      <c r="A5" s="158">
        <v>46073</v>
      </c>
      <c r="B5" s="12"/>
      <c r="C5" s="17" t="s">
        <v>112</v>
      </c>
      <c r="D5" s="18">
        <v>3</v>
      </c>
      <c r="E5" s="14">
        <f>D5</f>
        <v>3</v>
      </c>
    </row>
    <row r="6" spans="1:8" ht="15.75" customHeight="1" x14ac:dyDescent="0.3">
      <c r="A6" s="158">
        <v>46074</v>
      </c>
      <c r="B6" s="12"/>
      <c r="C6" s="17" t="s">
        <v>130</v>
      </c>
      <c r="D6" s="18">
        <v>2</v>
      </c>
      <c r="E6" s="14">
        <f t="shared" ref="E6:E29" si="0">E5+D6</f>
        <v>5</v>
      </c>
    </row>
    <row r="7" spans="1:8" ht="15.75" customHeight="1" x14ac:dyDescent="0.3">
      <c r="A7" s="158">
        <v>46080</v>
      </c>
      <c r="B7" s="12"/>
      <c r="C7" s="17" t="s">
        <v>131</v>
      </c>
      <c r="D7" s="18">
        <v>5</v>
      </c>
      <c r="E7" s="14">
        <f t="shared" si="0"/>
        <v>10</v>
      </c>
    </row>
    <row r="8" spans="1:8" ht="15.75" customHeight="1" x14ac:dyDescent="0.3">
      <c r="A8" s="158">
        <v>46080</v>
      </c>
      <c r="B8" s="12"/>
      <c r="C8" s="17" t="s">
        <v>132</v>
      </c>
      <c r="D8" s="18">
        <v>1</v>
      </c>
      <c r="E8" s="14">
        <f t="shared" si="0"/>
        <v>11</v>
      </c>
      <c r="G8" s="165">
        <f>SUM(D5:D61)</f>
        <v>258</v>
      </c>
    </row>
    <row r="9" spans="1:8" ht="15.75" customHeight="1" x14ac:dyDescent="0.3">
      <c r="A9" s="158">
        <v>46080</v>
      </c>
      <c r="B9" s="12"/>
      <c r="C9" s="175" t="s">
        <v>122</v>
      </c>
      <c r="D9" s="18">
        <v>10</v>
      </c>
      <c r="E9" s="14">
        <f t="shared" si="0"/>
        <v>21</v>
      </c>
    </row>
    <row r="10" spans="1:8" ht="15.75" customHeight="1" x14ac:dyDescent="0.3">
      <c r="A10" s="158">
        <v>46087</v>
      </c>
      <c r="B10" s="12"/>
      <c r="C10" s="17" t="s">
        <v>10</v>
      </c>
      <c r="D10" s="18">
        <v>2</v>
      </c>
      <c r="E10" s="14">
        <f t="shared" si="0"/>
        <v>23</v>
      </c>
    </row>
    <row r="11" spans="1:8" ht="15.75" customHeight="1" x14ac:dyDescent="0.3">
      <c r="A11" s="158">
        <v>46088</v>
      </c>
      <c r="B11" s="12"/>
      <c r="C11" s="17" t="s">
        <v>133</v>
      </c>
      <c r="D11" s="18">
        <v>5</v>
      </c>
      <c r="E11" s="14">
        <f t="shared" si="0"/>
        <v>28</v>
      </c>
    </row>
    <row r="12" spans="1:8" ht="15.75" customHeight="1" x14ac:dyDescent="0.3">
      <c r="A12" s="158">
        <v>46094</v>
      </c>
      <c r="B12" s="12"/>
      <c r="C12" s="242" t="s">
        <v>13</v>
      </c>
      <c r="D12" s="18">
        <v>1</v>
      </c>
      <c r="E12" s="14">
        <f t="shared" si="0"/>
        <v>29</v>
      </c>
    </row>
    <row r="13" spans="1:8" ht="15.75" customHeight="1" x14ac:dyDescent="0.3">
      <c r="A13" s="158">
        <v>46094</v>
      </c>
      <c r="B13" s="12"/>
      <c r="C13" s="175" t="s">
        <v>117</v>
      </c>
      <c r="D13" s="18">
        <v>1</v>
      </c>
      <c r="E13" s="14">
        <f t="shared" si="0"/>
        <v>30</v>
      </c>
    </row>
    <row r="14" spans="1:8" ht="15.75" customHeight="1" x14ac:dyDescent="0.3">
      <c r="A14" s="158">
        <v>46108</v>
      </c>
      <c r="B14" s="12"/>
      <c r="C14" s="17" t="s">
        <v>159</v>
      </c>
      <c r="D14" s="18">
        <v>5</v>
      </c>
      <c r="E14" s="14">
        <f t="shared" si="0"/>
        <v>35</v>
      </c>
    </row>
    <row r="15" spans="1:8" ht="15.75" customHeight="1" x14ac:dyDescent="0.3">
      <c r="A15" s="158">
        <v>46108</v>
      </c>
      <c r="B15" s="12"/>
      <c r="C15" s="17" t="s">
        <v>158</v>
      </c>
      <c r="D15" s="18">
        <v>1</v>
      </c>
      <c r="E15" s="14">
        <f t="shared" si="0"/>
        <v>36</v>
      </c>
    </row>
    <row r="16" spans="1:8" ht="15.75" customHeight="1" x14ac:dyDescent="0.3">
      <c r="A16" s="158">
        <v>46122</v>
      </c>
      <c r="B16" s="12"/>
      <c r="C16" s="17" t="s">
        <v>131</v>
      </c>
      <c r="D16" s="18">
        <v>5</v>
      </c>
      <c r="E16" s="14">
        <f t="shared" si="0"/>
        <v>41</v>
      </c>
    </row>
    <row r="17" spans="1:5" ht="15.75" customHeight="1" x14ac:dyDescent="0.3">
      <c r="A17" s="158">
        <v>46122</v>
      </c>
      <c r="B17" s="12"/>
      <c r="C17" s="17" t="s">
        <v>10</v>
      </c>
      <c r="D17" s="18">
        <v>2</v>
      </c>
      <c r="E17" s="14">
        <f t="shared" si="0"/>
        <v>43</v>
      </c>
    </row>
    <row r="18" spans="1:5" ht="15.75" customHeight="1" x14ac:dyDescent="0.3">
      <c r="A18" s="158">
        <v>46122</v>
      </c>
      <c r="B18" s="12"/>
      <c r="C18" s="17" t="s">
        <v>112</v>
      </c>
      <c r="D18" s="18">
        <v>3</v>
      </c>
      <c r="E18" s="14">
        <f t="shared" si="0"/>
        <v>46</v>
      </c>
    </row>
    <row r="19" spans="1:5" ht="15.75" customHeight="1" x14ac:dyDescent="0.3">
      <c r="A19" s="16">
        <v>46123</v>
      </c>
      <c r="B19" s="8"/>
      <c r="C19" s="13" t="s">
        <v>176</v>
      </c>
      <c r="D19" s="18">
        <v>2</v>
      </c>
      <c r="E19" s="14">
        <f t="shared" si="0"/>
        <v>48</v>
      </c>
    </row>
    <row r="20" spans="1:5" ht="15.75" customHeight="1" x14ac:dyDescent="0.3">
      <c r="A20" s="16">
        <v>46123</v>
      </c>
      <c r="B20" s="12"/>
      <c r="C20" s="13" t="s">
        <v>4</v>
      </c>
      <c r="D20" s="18">
        <v>2</v>
      </c>
      <c r="E20" s="14">
        <f t="shared" si="0"/>
        <v>50</v>
      </c>
    </row>
    <row r="21" spans="1:5" ht="15.75" customHeight="1" x14ac:dyDescent="0.3">
      <c r="A21" s="16">
        <v>46129</v>
      </c>
      <c r="B21" s="12"/>
      <c r="C21" s="17" t="s">
        <v>133</v>
      </c>
      <c r="D21" s="18">
        <v>5</v>
      </c>
      <c r="E21" s="14">
        <f t="shared" si="0"/>
        <v>55</v>
      </c>
    </row>
    <row r="22" spans="1:5" ht="15.75" customHeight="1" x14ac:dyDescent="0.3">
      <c r="A22" s="16">
        <v>46129</v>
      </c>
      <c r="B22" s="12"/>
      <c r="C22" s="24" t="s">
        <v>13</v>
      </c>
      <c r="D22" s="18">
        <v>1</v>
      </c>
      <c r="E22" s="14">
        <f t="shared" si="0"/>
        <v>56</v>
      </c>
    </row>
    <row r="23" spans="1:5" ht="15.75" customHeight="1" x14ac:dyDescent="0.3">
      <c r="A23" s="16">
        <v>46136</v>
      </c>
      <c r="B23" s="12"/>
      <c r="C23" s="24" t="s">
        <v>117</v>
      </c>
      <c r="D23" s="18">
        <v>1</v>
      </c>
      <c r="E23" s="14">
        <f t="shared" si="0"/>
        <v>57</v>
      </c>
    </row>
    <row r="24" spans="1:5" ht="15.75" customHeight="1" x14ac:dyDescent="0.3">
      <c r="A24" s="16">
        <v>46143</v>
      </c>
      <c r="B24" s="12"/>
      <c r="C24" s="17" t="s">
        <v>195</v>
      </c>
      <c r="D24" s="18">
        <v>5</v>
      </c>
      <c r="E24" s="14">
        <f t="shared" si="0"/>
        <v>62</v>
      </c>
    </row>
    <row r="25" spans="1:5" ht="15.75" customHeight="1" x14ac:dyDescent="0.3">
      <c r="A25" s="16">
        <v>46143</v>
      </c>
      <c r="B25" s="12"/>
      <c r="C25" s="17" t="s">
        <v>196</v>
      </c>
      <c r="D25" s="18">
        <v>50</v>
      </c>
      <c r="E25" s="14">
        <f t="shared" si="0"/>
        <v>112</v>
      </c>
    </row>
    <row r="26" spans="1:5" ht="15.75" customHeight="1" x14ac:dyDescent="0.3">
      <c r="A26" s="16">
        <v>46143</v>
      </c>
      <c r="B26" s="12"/>
      <c r="C26" s="17" t="s">
        <v>197</v>
      </c>
      <c r="D26" s="18">
        <v>20</v>
      </c>
      <c r="E26" s="14">
        <f t="shared" si="0"/>
        <v>132</v>
      </c>
    </row>
    <row r="27" spans="1:5" ht="15.75" customHeight="1" x14ac:dyDescent="0.3">
      <c r="A27" s="16">
        <v>46144</v>
      </c>
      <c r="B27" s="8"/>
      <c r="C27" s="13" t="s">
        <v>198</v>
      </c>
      <c r="D27" s="18">
        <v>2</v>
      </c>
      <c r="E27" s="14">
        <f t="shared" si="0"/>
        <v>134</v>
      </c>
    </row>
    <row r="28" spans="1:5" ht="15.75" customHeight="1" x14ac:dyDescent="0.3">
      <c r="A28" s="16">
        <v>46144</v>
      </c>
      <c r="B28" s="12"/>
      <c r="C28" s="17" t="s">
        <v>199</v>
      </c>
      <c r="D28" s="18">
        <v>1</v>
      </c>
      <c r="E28" s="14">
        <f t="shared" si="0"/>
        <v>135</v>
      </c>
    </row>
    <row r="29" spans="1:5" ht="15.75" customHeight="1" x14ac:dyDescent="0.3">
      <c r="A29" s="16">
        <v>46150</v>
      </c>
      <c r="B29" s="12"/>
      <c r="C29" s="17" t="s">
        <v>117</v>
      </c>
      <c r="D29" s="18">
        <v>1</v>
      </c>
      <c r="E29" s="14">
        <f t="shared" si="0"/>
        <v>136</v>
      </c>
    </row>
    <row r="30" spans="1:5" ht="15.75" customHeight="1" x14ac:dyDescent="0.3">
      <c r="A30" s="16">
        <v>46150</v>
      </c>
      <c r="B30" s="12"/>
      <c r="C30" s="17" t="s">
        <v>10</v>
      </c>
      <c r="D30" s="18">
        <v>2</v>
      </c>
      <c r="E30" s="14">
        <f t="shared" ref="E30:E61" si="1">E29+D30</f>
        <v>138</v>
      </c>
    </row>
    <row r="31" spans="1:5" ht="15.75" customHeight="1" x14ac:dyDescent="0.3">
      <c r="A31" s="16">
        <v>46151</v>
      </c>
      <c r="B31" s="12"/>
      <c r="C31" s="17" t="s">
        <v>176</v>
      </c>
      <c r="D31" s="18">
        <v>1</v>
      </c>
      <c r="E31" s="14">
        <f t="shared" si="1"/>
        <v>139</v>
      </c>
    </row>
    <row r="32" spans="1:5" ht="15.75" customHeight="1" x14ac:dyDescent="0.3">
      <c r="A32" s="16">
        <v>46151</v>
      </c>
      <c r="B32" s="12"/>
      <c r="C32" s="17" t="s">
        <v>13</v>
      </c>
      <c r="D32" s="18">
        <v>1</v>
      </c>
      <c r="E32" s="14">
        <f t="shared" si="1"/>
        <v>140</v>
      </c>
    </row>
    <row r="33" spans="1:5" ht="15.75" customHeight="1" x14ac:dyDescent="0.3">
      <c r="A33" s="16">
        <v>46157</v>
      </c>
      <c r="B33" s="12"/>
      <c r="C33" s="17" t="s">
        <v>133</v>
      </c>
      <c r="D33" s="18">
        <v>5</v>
      </c>
      <c r="E33" s="14">
        <f t="shared" si="1"/>
        <v>145</v>
      </c>
    </row>
    <row r="34" spans="1:5" ht="15.75" customHeight="1" x14ac:dyDescent="0.3">
      <c r="A34" s="16">
        <v>46157</v>
      </c>
      <c r="B34" s="12"/>
      <c r="C34" s="17" t="s">
        <v>222</v>
      </c>
      <c r="D34" s="18">
        <v>30</v>
      </c>
      <c r="E34" s="14">
        <f t="shared" si="1"/>
        <v>175</v>
      </c>
    </row>
    <row r="35" spans="1:5" ht="15.75" customHeight="1" x14ac:dyDescent="0.3">
      <c r="A35" s="16">
        <v>46158</v>
      </c>
      <c r="B35" s="12"/>
      <c r="C35" s="17" t="s">
        <v>224</v>
      </c>
      <c r="D35" s="18">
        <v>5</v>
      </c>
      <c r="E35" s="14">
        <f t="shared" si="1"/>
        <v>180</v>
      </c>
    </row>
    <row r="36" spans="1:5" ht="15.75" customHeight="1" x14ac:dyDescent="0.3">
      <c r="A36" s="16">
        <v>46165</v>
      </c>
      <c r="B36" s="12"/>
      <c r="C36" s="17" t="s">
        <v>176</v>
      </c>
      <c r="D36" s="18">
        <v>1</v>
      </c>
      <c r="E36" s="14">
        <f t="shared" si="1"/>
        <v>181</v>
      </c>
    </row>
    <row r="37" spans="1:5" ht="15.75" customHeight="1" x14ac:dyDescent="0.3">
      <c r="A37" s="16">
        <v>46165</v>
      </c>
      <c r="B37" s="8"/>
      <c r="C37" s="13" t="s">
        <v>229</v>
      </c>
      <c r="D37" s="18">
        <v>10</v>
      </c>
      <c r="E37" s="14">
        <f t="shared" si="1"/>
        <v>191</v>
      </c>
    </row>
    <row r="38" spans="1:5" ht="15.75" customHeight="1" x14ac:dyDescent="0.3">
      <c r="A38" s="251">
        <v>46171</v>
      </c>
      <c r="B38" s="8"/>
      <c r="C38" s="13" t="s">
        <v>238</v>
      </c>
      <c r="D38" s="18">
        <v>5</v>
      </c>
      <c r="E38" s="14">
        <f t="shared" si="1"/>
        <v>196</v>
      </c>
    </row>
    <row r="39" spans="1:5" ht="15.75" customHeight="1" x14ac:dyDescent="0.3">
      <c r="A39" s="251">
        <v>46171</v>
      </c>
      <c r="B39" s="8"/>
      <c r="C39" s="13" t="s">
        <v>236</v>
      </c>
      <c r="D39" s="18">
        <v>30</v>
      </c>
      <c r="E39" s="14">
        <f t="shared" si="1"/>
        <v>226</v>
      </c>
    </row>
    <row r="40" spans="1:5" ht="15.75" customHeight="1" x14ac:dyDescent="0.3">
      <c r="A40" s="251">
        <v>46171</v>
      </c>
      <c r="B40" s="8"/>
      <c r="C40" s="13" t="s">
        <v>243</v>
      </c>
      <c r="D40" s="18">
        <v>5</v>
      </c>
      <c r="E40" s="14">
        <f t="shared" si="1"/>
        <v>231</v>
      </c>
    </row>
    <row r="41" spans="1:5" ht="15.75" customHeight="1" x14ac:dyDescent="0.3">
      <c r="A41" s="251">
        <v>46171</v>
      </c>
      <c r="B41" s="8"/>
      <c r="C41" s="13" t="s">
        <v>235</v>
      </c>
      <c r="D41" s="18">
        <v>15</v>
      </c>
      <c r="E41" s="14">
        <f t="shared" si="1"/>
        <v>246</v>
      </c>
    </row>
    <row r="42" spans="1:5" ht="15.75" customHeight="1" x14ac:dyDescent="0.3">
      <c r="A42" s="251">
        <v>46171</v>
      </c>
      <c r="B42" s="8"/>
      <c r="C42" s="13" t="s">
        <v>234</v>
      </c>
      <c r="D42" s="18">
        <v>10</v>
      </c>
      <c r="E42" s="14">
        <f>E41+D42</f>
        <v>256</v>
      </c>
    </row>
    <row r="43" spans="1:5" ht="15.75" customHeight="1" x14ac:dyDescent="0.3">
      <c r="A43" s="251">
        <v>46203</v>
      </c>
      <c r="B43" s="8"/>
      <c r="C43" s="13" t="s">
        <v>4</v>
      </c>
      <c r="D43" s="18">
        <v>2</v>
      </c>
      <c r="E43" s="14">
        <f t="shared" si="1"/>
        <v>258</v>
      </c>
    </row>
    <row r="44" spans="1:5" ht="15.75" customHeight="1" x14ac:dyDescent="0.3">
      <c r="A44" s="251"/>
      <c r="B44" s="8"/>
      <c r="C44" s="13"/>
      <c r="D44" s="18"/>
      <c r="E44" s="14">
        <f t="shared" si="1"/>
        <v>258</v>
      </c>
    </row>
    <row r="45" spans="1:5" ht="15.75" customHeight="1" x14ac:dyDescent="0.3">
      <c r="A45" s="251"/>
      <c r="B45" s="8"/>
      <c r="C45" s="13"/>
      <c r="D45" s="18"/>
      <c r="E45" s="14">
        <f t="shared" si="1"/>
        <v>258</v>
      </c>
    </row>
    <row r="46" spans="1:5" ht="15.75" customHeight="1" x14ac:dyDescent="0.3">
      <c r="A46" s="251"/>
      <c r="B46" s="8"/>
      <c r="C46" s="13"/>
      <c r="D46" s="18"/>
      <c r="E46" s="14">
        <f t="shared" si="1"/>
        <v>258</v>
      </c>
    </row>
    <row r="47" spans="1:5" ht="15.75" customHeight="1" x14ac:dyDescent="0.3">
      <c r="A47" s="251"/>
      <c r="B47" s="8"/>
      <c r="C47" s="13"/>
      <c r="D47" s="18"/>
      <c r="E47" s="14">
        <f t="shared" si="1"/>
        <v>258</v>
      </c>
    </row>
    <row r="48" spans="1:5" ht="15.75" customHeight="1" x14ac:dyDescent="0.3">
      <c r="A48" s="251"/>
      <c r="B48" s="8"/>
      <c r="C48" s="13"/>
      <c r="D48" s="18"/>
      <c r="E48" s="14">
        <f t="shared" si="1"/>
        <v>258</v>
      </c>
    </row>
    <row r="49" spans="1:5" ht="15.75" customHeight="1" x14ac:dyDescent="0.3">
      <c r="A49" s="251"/>
      <c r="B49" s="8"/>
      <c r="C49" s="13"/>
      <c r="D49" s="18"/>
      <c r="E49" s="14">
        <f t="shared" si="1"/>
        <v>258</v>
      </c>
    </row>
    <row r="50" spans="1:5" ht="15.75" customHeight="1" x14ac:dyDescent="0.3">
      <c r="A50" s="251"/>
      <c r="B50" s="8"/>
      <c r="C50" s="13"/>
      <c r="D50" s="18"/>
      <c r="E50" s="14">
        <f t="shared" si="1"/>
        <v>258</v>
      </c>
    </row>
    <row r="51" spans="1:5" ht="15.75" customHeight="1" x14ac:dyDescent="0.3">
      <c r="A51" s="251"/>
      <c r="B51" s="8"/>
      <c r="C51" s="13"/>
      <c r="D51" s="18"/>
      <c r="E51" s="14">
        <f t="shared" si="1"/>
        <v>258</v>
      </c>
    </row>
    <row r="52" spans="1:5" ht="15.75" customHeight="1" x14ac:dyDescent="0.3">
      <c r="A52" s="251"/>
      <c r="B52" s="8"/>
      <c r="C52" s="13"/>
      <c r="D52" s="18"/>
      <c r="E52" s="14">
        <f t="shared" si="1"/>
        <v>258</v>
      </c>
    </row>
    <row r="53" spans="1:5" ht="15.75" customHeight="1" x14ac:dyDescent="0.3">
      <c r="A53" s="251"/>
      <c r="B53" s="8"/>
      <c r="C53" s="13"/>
      <c r="D53" s="18"/>
      <c r="E53" s="14">
        <f t="shared" si="1"/>
        <v>258</v>
      </c>
    </row>
    <row r="54" spans="1:5" ht="15.75" customHeight="1" x14ac:dyDescent="0.3">
      <c r="A54" s="251"/>
      <c r="B54" s="8"/>
      <c r="C54" s="13"/>
      <c r="D54" s="18"/>
      <c r="E54" s="14">
        <f t="shared" si="1"/>
        <v>258</v>
      </c>
    </row>
    <row r="55" spans="1:5" ht="15.75" customHeight="1" x14ac:dyDescent="0.3">
      <c r="A55" s="251"/>
      <c r="B55" s="8"/>
      <c r="C55" s="13"/>
      <c r="D55" s="18"/>
      <c r="E55" s="14">
        <f t="shared" si="1"/>
        <v>258</v>
      </c>
    </row>
    <row r="56" spans="1:5" ht="15.75" customHeight="1" x14ac:dyDescent="0.3">
      <c r="A56" s="251"/>
      <c r="B56" s="8"/>
      <c r="C56" s="13"/>
      <c r="D56" s="18"/>
      <c r="E56" s="14">
        <f t="shared" si="1"/>
        <v>258</v>
      </c>
    </row>
    <row r="57" spans="1:5" ht="15.75" customHeight="1" x14ac:dyDescent="0.3">
      <c r="A57" s="251"/>
      <c r="B57" s="8"/>
      <c r="C57" s="13"/>
      <c r="D57" s="18"/>
      <c r="E57" s="14">
        <f t="shared" si="1"/>
        <v>258</v>
      </c>
    </row>
    <row r="58" spans="1:5" ht="15.75" customHeight="1" x14ac:dyDescent="0.3">
      <c r="A58" s="251"/>
      <c r="B58" s="8"/>
      <c r="C58" s="13"/>
      <c r="D58" s="18"/>
      <c r="E58" s="14">
        <f t="shared" si="1"/>
        <v>258</v>
      </c>
    </row>
    <row r="59" spans="1:5" ht="15.75" customHeight="1" x14ac:dyDescent="0.3">
      <c r="A59" s="159"/>
      <c r="B59" s="12"/>
      <c r="C59" s="17"/>
      <c r="D59" s="18"/>
      <c r="E59" s="14">
        <f>E37+D59</f>
        <v>191</v>
      </c>
    </row>
    <row r="60" spans="1:5" ht="15.75" customHeight="1" x14ac:dyDescent="0.3">
      <c r="A60" s="159"/>
      <c r="B60" s="12"/>
      <c r="C60" s="17"/>
      <c r="D60" s="18"/>
      <c r="E60" s="14">
        <f t="shared" si="1"/>
        <v>191</v>
      </c>
    </row>
    <row r="61" spans="1:5" ht="15.75" customHeight="1" thickBot="1" x14ac:dyDescent="0.35">
      <c r="A61" s="159"/>
      <c r="B61" s="12"/>
      <c r="C61" s="17"/>
      <c r="D61" s="18"/>
      <c r="E61" s="14">
        <f t="shared" si="1"/>
        <v>191</v>
      </c>
    </row>
    <row r="62" spans="1:5" ht="18.75" customHeight="1" thickBot="1" x14ac:dyDescent="0.35">
      <c r="A62" s="327" t="s">
        <v>63</v>
      </c>
      <c r="B62" s="328"/>
      <c r="C62" s="237"/>
      <c r="D62" s="329">
        <f>SUM(D5:D61)</f>
        <v>258</v>
      </c>
      <c r="E62" s="331"/>
    </row>
    <row r="63" spans="1:5" ht="18.75" customHeight="1" x14ac:dyDescent="0.3">
      <c r="A63" s="42"/>
      <c r="B63" s="42"/>
      <c r="C63" s="238"/>
      <c r="D63" s="44"/>
      <c r="E63" s="154"/>
    </row>
    <row r="64" spans="1:5" ht="18.75" customHeight="1" x14ac:dyDescent="0.3">
      <c r="A64" s="42"/>
      <c r="B64" s="42"/>
      <c r="C64" s="238"/>
      <c r="D64" s="44"/>
      <c r="E64" s="154"/>
    </row>
    <row r="65" spans="1:5" ht="18.75" customHeight="1" x14ac:dyDescent="0.3">
      <c r="A65" s="42"/>
      <c r="B65" s="42"/>
      <c r="C65" s="238"/>
      <c r="D65" s="44"/>
      <c r="E65" s="154"/>
    </row>
    <row r="66" spans="1:5" ht="18.75" customHeight="1" x14ac:dyDescent="0.3">
      <c r="A66" s="42"/>
      <c r="B66" s="42"/>
      <c r="C66" s="238"/>
      <c r="D66" s="44"/>
      <c r="E66" s="154"/>
    </row>
    <row r="67" spans="1:5" ht="18.75" customHeight="1" x14ac:dyDescent="0.3">
      <c r="A67" s="42"/>
      <c r="B67" s="42"/>
      <c r="C67" s="238"/>
      <c r="D67" s="44"/>
      <c r="E67" s="154"/>
    </row>
    <row r="68" spans="1:5" ht="18.75" customHeight="1" x14ac:dyDescent="0.3">
      <c r="A68" s="42"/>
      <c r="B68" s="42"/>
      <c r="C68" s="238"/>
      <c r="D68" s="44"/>
      <c r="E68" s="154"/>
    </row>
    <row r="69" spans="1:5" ht="18.75" customHeight="1" x14ac:dyDescent="0.3">
      <c r="A69" s="42"/>
      <c r="B69" s="42"/>
      <c r="C69" s="238"/>
      <c r="D69" s="44"/>
      <c r="E69" s="154"/>
    </row>
    <row r="70" spans="1:5" ht="18.75" customHeight="1" x14ac:dyDescent="0.3">
      <c r="A70" s="42"/>
      <c r="B70" s="42"/>
      <c r="C70" s="238"/>
      <c r="D70" s="44"/>
      <c r="E70" s="154"/>
    </row>
    <row r="71" spans="1:5" ht="18.75" customHeight="1" x14ac:dyDescent="0.3">
      <c r="A71" s="42"/>
      <c r="B71" s="42"/>
      <c r="C71" s="238"/>
      <c r="D71" s="44"/>
      <c r="E71" s="154"/>
    </row>
    <row r="72" spans="1:5" ht="18.75" customHeight="1" x14ac:dyDescent="0.3">
      <c r="A72" s="42"/>
      <c r="B72" s="42"/>
      <c r="C72" s="238"/>
      <c r="D72" s="44"/>
      <c r="E72" s="154"/>
    </row>
    <row r="73" spans="1:5" ht="18.75" customHeight="1" x14ac:dyDescent="0.3">
      <c r="A73" s="42"/>
      <c r="B73" s="42"/>
      <c r="C73" s="238"/>
      <c r="D73" s="44"/>
      <c r="E73" s="154"/>
    </row>
    <row r="74" spans="1:5" ht="18.75" customHeight="1" x14ac:dyDescent="0.3">
      <c r="A74" s="42"/>
      <c r="B74" s="42"/>
      <c r="C74" s="238"/>
      <c r="D74" s="44"/>
      <c r="E74" s="154"/>
    </row>
    <row r="75" spans="1:5" ht="18.75" customHeight="1" x14ac:dyDescent="0.3">
      <c r="A75" s="42"/>
      <c r="B75" s="42"/>
      <c r="C75" s="238"/>
      <c r="D75" s="44"/>
      <c r="E75" s="154"/>
    </row>
    <row r="76" spans="1:5" ht="18.75" customHeight="1" x14ac:dyDescent="0.3">
      <c r="A76" s="42"/>
      <c r="B76" s="42"/>
      <c r="C76" s="238"/>
      <c r="D76" s="44"/>
      <c r="E76" s="154"/>
    </row>
    <row r="77" spans="1:5" ht="18.75" customHeight="1" x14ac:dyDescent="0.3">
      <c r="A77" s="42"/>
      <c r="B77" s="42"/>
      <c r="C77" s="238"/>
      <c r="D77" s="44"/>
      <c r="E77" s="154"/>
    </row>
    <row r="78" spans="1:5" ht="18.75" customHeight="1" x14ac:dyDescent="0.3">
      <c r="A78" s="42"/>
      <c r="B78" s="42"/>
      <c r="C78" s="238"/>
      <c r="D78" s="44"/>
      <c r="E78" s="154"/>
    </row>
    <row r="79" spans="1:5" ht="18.75" customHeight="1" x14ac:dyDescent="0.3">
      <c r="A79" s="42"/>
      <c r="B79" s="42"/>
      <c r="C79" s="238"/>
      <c r="D79" s="44"/>
      <c r="E79" s="154"/>
    </row>
    <row r="80" spans="1:5" ht="18.75" customHeight="1" x14ac:dyDescent="0.3">
      <c r="A80" s="42"/>
      <c r="B80" s="42"/>
      <c r="C80" s="238"/>
      <c r="D80" s="44"/>
      <c r="E80" s="154"/>
    </row>
    <row r="81" spans="1:5" ht="18.75" customHeight="1" x14ac:dyDescent="0.3">
      <c r="A81" s="42"/>
      <c r="B81" s="42"/>
      <c r="C81" s="238"/>
      <c r="D81" s="44"/>
      <c r="E81" s="154"/>
    </row>
    <row r="82" spans="1:5" ht="18.75" customHeight="1" x14ac:dyDescent="0.3">
      <c r="A82" s="42"/>
      <c r="B82" s="42"/>
      <c r="C82" s="238"/>
      <c r="D82" s="44"/>
      <c r="E82" s="154"/>
    </row>
    <row r="83" spans="1:5" ht="18.75" customHeight="1" x14ac:dyDescent="0.3">
      <c r="A83" s="42"/>
      <c r="B83" s="42"/>
      <c r="C83" s="238"/>
      <c r="D83" s="44"/>
      <c r="E83" s="154"/>
    </row>
    <row r="84" spans="1:5" ht="18.75" customHeight="1" x14ac:dyDescent="0.3">
      <c r="A84" s="42"/>
      <c r="B84" s="42"/>
      <c r="C84" s="238"/>
      <c r="D84" s="44"/>
      <c r="E84" s="154"/>
    </row>
    <row r="85" spans="1:5" ht="18.75" customHeight="1" x14ac:dyDescent="0.3">
      <c r="A85" s="42"/>
      <c r="B85" s="42"/>
      <c r="C85" s="238"/>
      <c r="D85" s="44"/>
      <c r="E85" s="154"/>
    </row>
    <row r="86" spans="1:5" ht="18.75" customHeight="1" x14ac:dyDescent="0.3">
      <c r="A86" s="42"/>
      <c r="B86" s="42"/>
      <c r="C86" s="238"/>
      <c r="D86" s="44"/>
      <c r="E86" s="154"/>
    </row>
    <row r="87" spans="1:5" ht="18.75" customHeight="1" x14ac:dyDescent="0.3">
      <c r="A87" s="42"/>
      <c r="B87" s="42"/>
      <c r="C87" s="238"/>
      <c r="D87" s="44"/>
      <c r="E87" s="154"/>
    </row>
    <row r="88" spans="1:5" ht="18.75" customHeight="1" x14ac:dyDescent="0.3">
      <c r="A88" s="42"/>
      <c r="B88" s="42"/>
      <c r="C88" s="238"/>
      <c r="D88" s="44"/>
      <c r="E88" s="154"/>
    </row>
    <row r="89" spans="1:5" ht="18.75" customHeight="1" x14ac:dyDescent="0.3">
      <c r="A89" s="42"/>
      <c r="B89" s="42"/>
      <c r="C89" s="238"/>
      <c r="D89" s="44"/>
      <c r="E89" s="154"/>
    </row>
    <row r="90" spans="1:5" ht="18.75" customHeight="1" x14ac:dyDescent="0.3">
      <c r="A90" s="42"/>
      <c r="B90" s="42"/>
      <c r="C90" s="238"/>
      <c r="D90" s="44"/>
      <c r="E90" s="154"/>
    </row>
    <row r="91" spans="1:5" ht="18.75" customHeight="1" x14ac:dyDescent="0.3">
      <c r="A91" s="42"/>
      <c r="B91" s="42"/>
      <c r="C91" s="238"/>
      <c r="D91" s="44"/>
      <c r="E91" s="154"/>
    </row>
    <row r="92" spans="1:5" ht="18.75" customHeight="1" x14ac:dyDescent="0.3">
      <c r="A92" s="42"/>
      <c r="B92" s="42"/>
      <c r="C92" s="238"/>
      <c r="D92" s="44"/>
      <c r="E92" s="154"/>
    </row>
    <row r="93" spans="1:5" ht="18.75" customHeight="1" x14ac:dyDescent="0.3">
      <c r="A93" s="42"/>
      <c r="B93" s="42"/>
      <c r="C93" s="238"/>
      <c r="D93" s="44"/>
      <c r="E93" s="154"/>
    </row>
    <row r="94" spans="1:5" ht="18.75" customHeight="1" x14ac:dyDescent="0.3">
      <c r="A94" s="42"/>
      <c r="B94" s="42"/>
      <c r="C94" s="238"/>
      <c r="D94" s="44"/>
      <c r="E94" s="154"/>
    </row>
    <row r="95" spans="1:5" ht="18.75" customHeight="1" x14ac:dyDescent="0.3">
      <c r="A95" s="42"/>
      <c r="B95" s="42"/>
      <c r="C95" s="238"/>
      <c r="D95" s="44"/>
      <c r="E95" s="154"/>
    </row>
    <row r="96" spans="1:5" ht="18.75" customHeight="1" x14ac:dyDescent="0.3">
      <c r="A96" s="42"/>
      <c r="B96" s="42"/>
      <c r="C96" s="238"/>
      <c r="D96" s="44"/>
      <c r="E96" s="154"/>
    </row>
    <row r="97" spans="1:5" ht="18.75" customHeight="1" x14ac:dyDescent="0.3">
      <c r="A97" s="42"/>
      <c r="B97" s="42"/>
      <c r="C97" s="238"/>
      <c r="D97" s="44"/>
      <c r="E97" s="154"/>
    </row>
    <row r="98" spans="1:5" ht="18.75" customHeight="1" x14ac:dyDescent="0.3">
      <c r="A98" s="42"/>
      <c r="B98" s="42"/>
      <c r="C98" s="238"/>
      <c r="D98" s="44"/>
      <c r="E98" s="154"/>
    </row>
    <row r="99" spans="1:5" ht="18.75" customHeight="1" x14ac:dyDescent="0.3">
      <c r="A99" s="42"/>
      <c r="B99" s="42"/>
      <c r="C99" s="238"/>
      <c r="D99" s="44"/>
      <c r="E99" s="154"/>
    </row>
    <row r="100" spans="1:5" ht="18.75" customHeight="1" x14ac:dyDescent="0.3">
      <c r="A100" s="42"/>
      <c r="B100" s="42"/>
      <c r="C100" s="238"/>
      <c r="D100" s="44"/>
      <c r="E100" s="154"/>
    </row>
    <row r="101" spans="1:5" ht="18.75" customHeight="1" x14ac:dyDescent="0.3">
      <c r="A101" s="42"/>
      <c r="B101" s="42"/>
      <c r="C101" s="238"/>
      <c r="D101" s="44"/>
      <c r="E101" s="154"/>
    </row>
    <row r="102" spans="1:5" ht="18.75" customHeight="1" x14ac:dyDescent="0.3">
      <c r="A102" s="42"/>
      <c r="B102" s="42"/>
      <c r="C102" s="238"/>
      <c r="D102" s="44"/>
      <c r="E102" s="154"/>
    </row>
    <row r="103" spans="1:5" ht="18.75" customHeight="1" x14ac:dyDescent="0.3">
      <c r="A103" s="42"/>
      <c r="B103" s="42"/>
      <c r="C103" s="238"/>
      <c r="D103" s="44"/>
      <c r="E103" s="154"/>
    </row>
    <row r="104" spans="1:5" ht="18.75" customHeight="1" x14ac:dyDescent="0.3">
      <c r="A104" s="42"/>
      <c r="B104" s="42"/>
      <c r="C104" s="238"/>
      <c r="D104" s="44"/>
      <c r="E104" s="154"/>
    </row>
    <row r="105" spans="1:5" ht="18.75" customHeight="1" x14ac:dyDescent="0.3">
      <c r="A105" s="42"/>
      <c r="B105" s="42"/>
      <c r="C105" s="238"/>
      <c r="D105" s="44"/>
      <c r="E105" s="154"/>
    </row>
    <row r="106" spans="1:5" ht="18.75" customHeight="1" x14ac:dyDescent="0.3">
      <c r="A106" s="42"/>
      <c r="B106" s="42"/>
      <c r="C106" s="238"/>
      <c r="D106" s="44"/>
      <c r="E106" s="154"/>
    </row>
    <row r="107" spans="1:5" ht="18.75" customHeight="1" x14ac:dyDescent="0.3">
      <c r="A107" s="42"/>
      <c r="B107" s="42"/>
      <c r="C107" s="238"/>
      <c r="D107" s="44"/>
      <c r="E107" s="154"/>
    </row>
    <row r="108" spans="1:5" ht="18.75" customHeight="1" x14ac:dyDescent="0.3">
      <c r="A108" s="42"/>
      <c r="B108" s="42"/>
      <c r="C108" s="238"/>
      <c r="D108" s="44"/>
      <c r="E108" s="154"/>
    </row>
    <row r="109" spans="1:5" ht="18.75" customHeight="1" x14ac:dyDescent="0.3">
      <c r="A109" s="42"/>
      <c r="B109" s="42"/>
      <c r="C109" s="238"/>
      <c r="D109" s="44"/>
      <c r="E109" s="154"/>
    </row>
    <row r="110" spans="1:5" ht="18.75" customHeight="1" x14ac:dyDescent="0.3">
      <c r="A110" s="42"/>
      <c r="B110" s="42"/>
      <c r="C110" s="238"/>
      <c r="D110" s="44"/>
      <c r="E110" s="154"/>
    </row>
    <row r="111" spans="1:5" ht="18.75" customHeight="1" x14ac:dyDescent="0.3">
      <c r="A111" s="42"/>
      <c r="B111" s="42"/>
      <c r="C111" s="238"/>
      <c r="D111" s="44"/>
      <c r="E111" s="154"/>
    </row>
    <row r="112" spans="1:5" ht="18.75" customHeight="1" x14ac:dyDescent="0.3">
      <c r="A112" s="42"/>
      <c r="B112" s="42"/>
      <c r="C112" s="238"/>
      <c r="D112" s="44"/>
      <c r="E112" s="154"/>
    </row>
    <row r="113" spans="1:5" ht="18.75" customHeight="1" x14ac:dyDescent="0.3">
      <c r="A113" s="42"/>
      <c r="B113" s="42"/>
      <c r="C113" s="238"/>
      <c r="D113" s="44"/>
      <c r="E113" s="154"/>
    </row>
    <row r="114" spans="1:5" ht="18.75" customHeight="1" x14ac:dyDescent="0.3">
      <c r="A114" s="42"/>
      <c r="B114" s="42"/>
      <c r="C114" s="238"/>
      <c r="D114" s="44"/>
      <c r="E114" s="154"/>
    </row>
    <row r="115" spans="1:5" ht="18.75" customHeight="1" x14ac:dyDescent="0.3">
      <c r="A115" s="42"/>
      <c r="B115" s="42"/>
      <c r="C115" s="238"/>
      <c r="D115" s="44"/>
      <c r="E115" s="154"/>
    </row>
    <row r="116" spans="1:5" ht="18.75" customHeight="1" x14ac:dyDescent="0.3">
      <c r="A116" s="42"/>
      <c r="B116" s="42"/>
      <c r="C116" s="238"/>
      <c r="D116" s="44"/>
      <c r="E116" s="154"/>
    </row>
    <row r="117" spans="1:5" ht="18.75" customHeight="1" x14ac:dyDescent="0.3">
      <c r="A117" s="42"/>
      <c r="B117" s="42"/>
      <c r="C117" s="238"/>
      <c r="D117" s="44"/>
      <c r="E117" s="154"/>
    </row>
    <row r="118" spans="1:5" ht="18.75" customHeight="1" x14ac:dyDescent="0.3">
      <c r="A118" s="42"/>
      <c r="B118" s="42"/>
      <c r="C118" s="238"/>
      <c r="D118" s="44"/>
      <c r="E118" s="154"/>
    </row>
    <row r="119" spans="1:5" ht="18.75" customHeight="1" x14ac:dyDescent="0.3">
      <c r="A119" s="42"/>
      <c r="B119" s="42"/>
      <c r="C119" s="238"/>
      <c r="D119" s="44"/>
      <c r="E119" s="154"/>
    </row>
    <row r="120" spans="1:5" ht="18.75" customHeight="1" x14ac:dyDescent="0.3">
      <c r="A120" s="42"/>
      <c r="B120" s="42"/>
      <c r="C120" s="238"/>
      <c r="D120" s="44"/>
      <c r="E120" s="154"/>
    </row>
    <row r="121" spans="1:5" ht="18.75" customHeight="1" x14ac:dyDescent="0.3">
      <c r="A121" s="42"/>
      <c r="B121" s="42"/>
      <c r="C121" s="238"/>
      <c r="D121" s="44"/>
      <c r="E121" s="154"/>
    </row>
    <row r="122" spans="1:5" ht="18.75" customHeight="1" x14ac:dyDescent="0.3">
      <c r="A122" s="42"/>
      <c r="B122" s="42"/>
      <c r="C122" s="238"/>
      <c r="D122" s="44"/>
      <c r="E122" s="154"/>
    </row>
    <row r="123" spans="1:5" ht="18.75" customHeight="1" x14ac:dyDescent="0.3">
      <c r="A123" s="42"/>
      <c r="B123" s="42"/>
      <c r="C123" s="238"/>
      <c r="D123" s="44"/>
      <c r="E123" s="154"/>
    </row>
    <row r="124" spans="1:5" ht="18.75" customHeight="1" x14ac:dyDescent="0.3">
      <c r="A124" s="42"/>
      <c r="B124" s="42"/>
      <c r="C124" s="238"/>
      <c r="D124" s="44"/>
      <c r="E124" s="154"/>
    </row>
    <row r="125" spans="1:5" ht="18.75" customHeight="1" x14ac:dyDescent="0.3">
      <c r="A125" s="42"/>
      <c r="B125" s="42"/>
      <c r="C125" s="238"/>
      <c r="D125" s="44"/>
      <c r="E125" s="154"/>
    </row>
    <row r="126" spans="1:5" ht="18.75" customHeight="1" x14ac:dyDescent="0.3">
      <c r="A126" s="42"/>
      <c r="B126" s="42"/>
      <c r="C126" s="238"/>
      <c r="D126" s="44"/>
      <c r="E126" s="154"/>
    </row>
    <row r="127" spans="1:5" ht="18.75" customHeight="1" x14ac:dyDescent="0.3">
      <c r="A127" s="42"/>
      <c r="B127" s="42"/>
      <c r="C127" s="238"/>
      <c r="D127" s="44"/>
      <c r="E127" s="154"/>
    </row>
    <row r="128" spans="1:5" ht="18.75" customHeight="1" x14ac:dyDescent="0.3">
      <c r="A128" s="42"/>
      <c r="B128" s="42"/>
      <c r="C128" s="238"/>
      <c r="D128" s="44"/>
      <c r="E128" s="154"/>
    </row>
    <row r="129" spans="1:5" ht="18.75" customHeight="1" x14ac:dyDescent="0.3">
      <c r="A129" s="42"/>
      <c r="B129" s="42"/>
      <c r="C129" s="238"/>
      <c r="D129" s="44"/>
      <c r="E129" s="154"/>
    </row>
    <row r="130" spans="1:5" ht="18.75" customHeight="1" x14ac:dyDescent="0.3">
      <c r="A130" s="42"/>
      <c r="B130" s="42"/>
      <c r="C130" s="238"/>
      <c r="D130" s="44"/>
      <c r="E130" s="154"/>
    </row>
    <row r="131" spans="1:5" ht="18.75" customHeight="1" x14ac:dyDescent="0.3">
      <c r="A131" s="42"/>
      <c r="B131" s="42"/>
      <c r="C131" s="238"/>
      <c r="D131" s="44"/>
      <c r="E131" s="154"/>
    </row>
    <row r="132" spans="1:5" ht="18.75" customHeight="1" x14ac:dyDescent="0.3">
      <c r="A132" s="42"/>
      <c r="B132" s="42"/>
      <c r="C132" s="238"/>
      <c r="D132" s="44"/>
      <c r="E132" s="154"/>
    </row>
    <row r="133" spans="1:5" ht="18.75" customHeight="1" x14ac:dyDescent="0.3">
      <c r="A133" s="42"/>
      <c r="B133" s="42"/>
      <c r="C133" s="238"/>
      <c r="D133" s="44"/>
      <c r="E133" s="154"/>
    </row>
    <row r="134" spans="1:5" ht="18.75" customHeight="1" x14ac:dyDescent="0.3">
      <c r="A134" s="42"/>
      <c r="B134" s="42"/>
      <c r="C134" s="238"/>
      <c r="D134" s="44"/>
      <c r="E134" s="154"/>
    </row>
    <row r="135" spans="1:5" ht="18.75" customHeight="1" x14ac:dyDescent="0.3">
      <c r="A135" s="42"/>
      <c r="B135" s="42"/>
      <c r="C135" s="238"/>
      <c r="D135" s="44"/>
      <c r="E135" s="154"/>
    </row>
    <row r="136" spans="1:5" ht="18.75" customHeight="1" x14ac:dyDescent="0.3">
      <c r="A136" s="42"/>
      <c r="B136" s="42"/>
      <c r="C136" s="238"/>
      <c r="D136" s="44"/>
      <c r="E136" s="154"/>
    </row>
    <row r="137" spans="1:5" ht="18.75" customHeight="1" x14ac:dyDescent="0.3">
      <c r="A137" s="42"/>
      <c r="B137" s="42"/>
      <c r="C137" s="238"/>
      <c r="D137" s="44"/>
      <c r="E137" s="154"/>
    </row>
    <row r="138" spans="1:5" ht="18.75" customHeight="1" x14ac:dyDescent="0.3">
      <c r="A138" s="42"/>
      <c r="B138" s="42"/>
      <c r="C138" s="238"/>
      <c r="D138" s="44"/>
      <c r="E138" s="154"/>
    </row>
    <row r="139" spans="1:5" ht="18.75" customHeight="1" x14ac:dyDescent="0.3">
      <c r="A139" s="42"/>
      <c r="B139" s="42"/>
      <c r="C139" s="238"/>
      <c r="D139" s="44"/>
      <c r="E139" s="154"/>
    </row>
    <row r="140" spans="1:5" ht="18.75" customHeight="1" x14ac:dyDescent="0.3">
      <c r="A140" s="42"/>
      <c r="B140" s="42"/>
      <c r="C140" s="238"/>
      <c r="D140" s="44"/>
      <c r="E140" s="154"/>
    </row>
    <row r="141" spans="1:5" ht="18.75" customHeight="1" x14ac:dyDescent="0.3">
      <c r="A141" s="42"/>
      <c r="B141" s="42"/>
      <c r="C141" s="238"/>
      <c r="D141" s="44"/>
      <c r="E141" s="154"/>
    </row>
    <row r="142" spans="1:5" ht="18.75" customHeight="1" x14ac:dyDescent="0.3">
      <c r="A142" s="42"/>
      <c r="B142" s="42"/>
      <c r="C142" s="238"/>
      <c r="D142" s="44"/>
      <c r="E142" s="154"/>
    </row>
    <row r="143" spans="1:5" ht="18.75" customHeight="1" x14ac:dyDescent="0.3">
      <c r="A143" s="42"/>
      <c r="B143" s="42"/>
      <c r="C143" s="238"/>
      <c r="D143" s="44"/>
      <c r="E143" s="154"/>
    </row>
    <row r="144" spans="1:5" ht="18.75" customHeight="1" x14ac:dyDescent="0.3">
      <c r="A144" s="42"/>
      <c r="B144" s="42"/>
      <c r="C144" s="238"/>
      <c r="D144" s="44"/>
      <c r="E144" s="154"/>
    </row>
    <row r="145" spans="1:5" ht="18.75" customHeight="1" x14ac:dyDescent="0.3">
      <c r="A145" s="42"/>
      <c r="B145" s="42"/>
      <c r="C145" s="238"/>
      <c r="D145" s="44"/>
      <c r="E145" s="154"/>
    </row>
    <row r="146" spans="1:5" ht="18.75" customHeight="1" x14ac:dyDescent="0.3">
      <c r="A146" s="42"/>
      <c r="B146" s="42"/>
      <c r="C146" s="238"/>
      <c r="D146" s="44"/>
      <c r="E146" s="154"/>
    </row>
    <row r="147" spans="1:5" ht="18.75" customHeight="1" x14ac:dyDescent="0.3">
      <c r="A147" s="42"/>
      <c r="B147" s="42"/>
      <c r="C147" s="238"/>
      <c r="D147" s="44"/>
      <c r="E147" s="154"/>
    </row>
    <row r="148" spans="1:5" ht="18.75" customHeight="1" x14ac:dyDescent="0.3">
      <c r="A148" s="42"/>
      <c r="B148" s="42"/>
      <c r="C148" s="238"/>
      <c r="D148" s="44"/>
      <c r="E148" s="154"/>
    </row>
    <row r="149" spans="1:5" ht="18.75" customHeight="1" x14ac:dyDescent="0.3">
      <c r="A149" s="42"/>
      <c r="B149" s="42"/>
      <c r="C149" s="238"/>
      <c r="D149" s="44"/>
      <c r="E149" s="154"/>
    </row>
    <row r="150" spans="1:5" ht="18.75" customHeight="1" x14ac:dyDescent="0.3">
      <c r="A150" s="42"/>
      <c r="B150" s="42"/>
      <c r="C150" s="238"/>
      <c r="D150" s="44"/>
      <c r="E150" s="154"/>
    </row>
    <row r="151" spans="1:5" ht="18.75" customHeight="1" x14ac:dyDescent="0.3">
      <c r="A151" s="42"/>
      <c r="B151" s="42"/>
      <c r="C151" s="238"/>
      <c r="D151" s="44"/>
      <c r="E151" s="154"/>
    </row>
    <row r="152" spans="1:5" ht="18.75" customHeight="1" x14ac:dyDescent="0.3">
      <c r="A152" s="42"/>
      <c r="B152" s="42"/>
      <c r="C152" s="238"/>
      <c r="D152" s="44"/>
      <c r="E152" s="154"/>
    </row>
    <row r="153" spans="1:5" ht="18.75" customHeight="1" x14ac:dyDescent="0.3">
      <c r="A153" s="42"/>
      <c r="B153" s="42"/>
      <c r="C153" s="238"/>
      <c r="D153" s="44"/>
      <c r="E153" s="154"/>
    </row>
    <row r="154" spans="1:5" ht="18.75" customHeight="1" x14ac:dyDescent="0.3">
      <c r="A154" s="42"/>
      <c r="B154" s="42"/>
      <c r="C154" s="238"/>
      <c r="D154" s="44"/>
      <c r="E154" s="154"/>
    </row>
    <row r="155" spans="1:5" ht="18.75" customHeight="1" x14ac:dyDescent="0.3">
      <c r="A155" s="42"/>
      <c r="B155" s="42"/>
      <c r="C155" s="238"/>
      <c r="D155" s="44"/>
      <c r="E155" s="154"/>
    </row>
    <row r="156" spans="1:5" ht="18.75" customHeight="1" x14ac:dyDescent="0.3">
      <c r="A156" s="42"/>
      <c r="B156" s="42"/>
      <c r="C156" s="238"/>
      <c r="D156" s="44"/>
      <c r="E156" s="154"/>
    </row>
    <row r="157" spans="1:5" ht="18.75" customHeight="1" x14ac:dyDescent="0.3">
      <c r="A157" s="42"/>
      <c r="B157" s="42"/>
      <c r="C157" s="238"/>
      <c r="D157" s="44"/>
      <c r="E157" s="154"/>
    </row>
    <row r="158" spans="1:5" ht="18.75" customHeight="1" x14ac:dyDescent="0.3">
      <c r="A158" s="42"/>
      <c r="B158" s="42"/>
      <c r="C158" s="238"/>
      <c r="D158" s="44"/>
      <c r="E158" s="154"/>
    </row>
    <row r="159" spans="1:5" ht="18.75" customHeight="1" x14ac:dyDescent="0.3">
      <c r="A159" s="42"/>
      <c r="B159" s="42"/>
      <c r="C159" s="238"/>
      <c r="D159" s="44"/>
      <c r="E159" s="154"/>
    </row>
    <row r="160" spans="1:5" ht="18.75" customHeight="1" x14ac:dyDescent="0.3">
      <c r="A160" s="42"/>
      <c r="B160" s="42"/>
      <c r="C160" s="238"/>
      <c r="D160" s="44"/>
      <c r="E160" s="154"/>
    </row>
    <row r="161" spans="1:5" ht="18.75" customHeight="1" x14ac:dyDescent="0.3">
      <c r="A161" s="42"/>
      <c r="B161" s="42"/>
      <c r="C161" s="238"/>
      <c r="D161" s="44"/>
      <c r="E161" s="154"/>
    </row>
    <row r="162" spans="1:5" ht="18.75" customHeight="1" x14ac:dyDescent="0.3">
      <c r="A162" s="42"/>
      <c r="B162" s="42"/>
      <c r="C162" s="238"/>
      <c r="D162" s="44"/>
      <c r="E162" s="154"/>
    </row>
    <row r="163" spans="1:5" ht="18.75" customHeight="1" x14ac:dyDescent="0.3">
      <c r="A163" s="42"/>
      <c r="B163" s="42"/>
      <c r="C163" s="238"/>
      <c r="D163" s="44"/>
      <c r="E163" s="154"/>
    </row>
    <row r="164" spans="1:5" ht="18.75" customHeight="1" x14ac:dyDescent="0.3">
      <c r="A164" s="42"/>
      <c r="B164" s="42"/>
      <c r="C164" s="238"/>
      <c r="D164" s="44"/>
      <c r="E164" s="154"/>
    </row>
    <row r="165" spans="1:5" ht="18.75" customHeight="1" x14ac:dyDescent="0.3">
      <c r="A165" s="42"/>
      <c r="B165" s="42"/>
      <c r="C165" s="238"/>
      <c r="D165" s="44"/>
      <c r="E165" s="154"/>
    </row>
    <row r="166" spans="1:5" ht="18.75" customHeight="1" x14ac:dyDescent="0.3">
      <c r="A166" s="42"/>
      <c r="B166" s="42"/>
      <c r="C166" s="238"/>
      <c r="D166" s="44"/>
      <c r="E166" s="154"/>
    </row>
    <row r="167" spans="1:5" ht="18.75" customHeight="1" x14ac:dyDescent="0.3">
      <c r="A167" s="42"/>
      <c r="B167" s="42"/>
      <c r="C167" s="238"/>
      <c r="D167" s="44"/>
      <c r="E167" s="154"/>
    </row>
    <row r="168" spans="1:5" ht="18.75" customHeight="1" x14ac:dyDescent="0.3">
      <c r="A168" s="42"/>
      <c r="B168" s="42"/>
      <c r="C168" s="238"/>
      <c r="D168" s="44"/>
      <c r="E168" s="154"/>
    </row>
    <row r="169" spans="1:5" ht="18.75" customHeight="1" x14ac:dyDescent="0.3">
      <c r="A169" s="42"/>
      <c r="B169" s="42"/>
      <c r="C169" s="238"/>
      <c r="D169" s="44"/>
      <c r="E169" s="154"/>
    </row>
    <row r="170" spans="1:5" ht="18.75" customHeight="1" x14ac:dyDescent="0.3">
      <c r="A170" s="42"/>
      <c r="B170" s="42"/>
      <c r="C170" s="238"/>
      <c r="D170" s="44"/>
      <c r="E170" s="154"/>
    </row>
    <row r="171" spans="1:5" ht="18.75" customHeight="1" x14ac:dyDescent="0.3">
      <c r="A171" s="42"/>
      <c r="B171" s="42"/>
      <c r="C171" s="238"/>
      <c r="D171" s="44"/>
      <c r="E171" s="154"/>
    </row>
    <row r="172" spans="1:5" ht="18.75" customHeight="1" x14ac:dyDescent="0.3">
      <c r="A172" s="42"/>
      <c r="B172" s="42"/>
      <c r="C172" s="238"/>
      <c r="D172" s="44"/>
      <c r="E172" s="154"/>
    </row>
    <row r="173" spans="1:5" ht="18.75" customHeight="1" x14ac:dyDescent="0.3">
      <c r="A173" s="42"/>
      <c r="B173" s="42"/>
      <c r="C173" s="238"/>
      <c r="D173" s="44"/>
      <c r="E173" s="154"/>
    </row>
    <row r="174" spans="1:5" ht="18.75" customHeight="1" x14ac:dyDescent="0.3">
      <c r="A174" s="42"/>
      <c r="B174" s="42"/>
      <c r="C174" s="238"/>
      <c r="D174" s="44"/>
      <c r="E174" s="154"/>
    </row>
    <row r="175" spans="1:5" ht="18.75" customHeight="1" x14ac:dyDescent="0.3">
      <c r="A175" s="42"/>
      <c r="B175" s="42"/>
      <c r="C175" s="238"/>
      <c r="D175" s="44"/>
      <c r="E175" s="154"/>
    </row>
    <row r="176" spans="1:5" ht="18.75" customHeight="1" x14ac:dyDescent="0.3">
      <c r="A176" s="42"/>
      <c r="B176" s="42"/>
      <c r="C176" s="238"/>
      <c r="D176" s="44"/>
      <c r="E176" s="154"/>
    </row>
    <row r="177" spans="1:5" ht="18.75" customHeight="1" x14ac:dyDescent="0.3">
      <c r="A177" s="42"/>
      <c r="B177" s="42"/>
      <c r="C177" s="238"/>
      <c r="D177" s="44"/>
      <c r="E177" s="154"/>
    </row>
    <row r="178" spans="1:5" ht="18.75" customHeight="1" x14ac:dyDescent="0.3">
      <c r="A178" s="42"/>
      <c r="B178" s="42"/>
      <c r="C178" s="238"/>
      <c r="D178" s="44"/>
      <c r="E178" s="154"/>
    </row>
    <row r="179" spans="1:5" ht="18.75" customHeight="1" x14ac:dyDescent="0.3">
      <c r="A179" s="42"/>
      <c r="B179" s="42"/>
      <c r="C179" s="238"/>
      <c r="D179" s="44"/>
      <c r="E179" s="154"/>
    </row>
    <row r="180" spans="1:5" ht="18.75" customHeight="1" x14ac:dyDescent="0.3">
      <c r="A180" s="42"/>
      <c r="B180" s="42"/>
      <c r="C180" s="238"/>
      <c r="D180" s="44"/>
      <c r="E180" s="154"/>
    </row>
    <row r="181" spans="1:5" ht="18.75" customHeight="1" x14ac:dyDescent="0.3">
      <c r="A181" s="42"/>
      <c r="B181" s="42"/>
      <c r="C181" s="238"/>
      <c r="D181" s="44"/>
      <c r="E181" s="154"/>
    </row>
    <row r="182" spans="1:5" ht="18.75" customHeight="1" x14ac:dyDescent="0.3">
      <c r="A182" s="42"/>
      <c r="B182" s="42"/>
      <c r="C182" s="238"/>
      <c r="D182" s="44"/>
      <c r="E182" s="154"/>
    </row>
    <row r="183" spans="1:5" ht="18.75" customHeight="1" x14ac:dyDescent="0.3">
      <c r="A183" s="42"/>
      <c r="B183" s="42"/>
      <c r="C183" s="238"/>
      <c r="D183" s="44"/>
      <c r="E183" s="154"/>
    </row>
    <row r="184" spans="1:5" ht="18.75" customHeight="1" x14ac:dyDescent="0.3">
      <c r="A184" s="42"/>
      <c r="B184" s="42"/>
      <c r="C184" s="238"/>
      <c r="D184" s="44"/>
      <c r="E184" s="154"/>
    </row>
    <row r="185" spans="1:5" ht="18.75" customHeight="1" x14ac:dyDescent="0.3">
      <c r="A185" s="42"/>
      <c r="B185" s="42"/>
      <c r="C185" s="238"/>
      <c r="D185" s="44"/>
      <c r="E185" s="154"/>
    </row>
  </sheetData>
  <mergeCells count="3">
    <mergeCell ref="A2:C2"/>
    <mergeCell ref="A62:B62"/>
    <mergeCell ref="D62:E62"/>
  </mergeCells>
  <pageMargins left="0.2" right="0.2" top="0.25" bottom="0.25" header="0.3" footer="0.3"/>
  <pageSetup scale="9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FC088-16A2-45D1-A74E-5C964E0ADAE4}">
  <dimension ref="A1:H106"/>
  <sheetViews>
    <sheetView showGridLines="0" topLeftCell="A74" workbookViewId="0">
      <selection activeCell="G89" sqref="G89"/>
    </sheetView>
  </sheetViews>
  <sheetFormatPr defaultRowHeight="14.4" x14ac:dyDescent="0.3"/>
  <cols>
    <col min="1" max="1" width="12.5546875" style="19" customWidth="1"/>
    <col min="2" max="2" width="8.33203125" customWidth="1"/>
    <col min="3" max="3" width="30.88671875" customWidth="1"/>
    <col min="4" max="4" width="13.44140625" style="20" customWidth="1"/>
    <col min="5" max="5" width="12.109375" style="20" customWidth="1"/>
    <col min="7" max="7" width="27.6640625" customWidth="1"/>
    <col min="8" max="8" width="12.109375" customWidth="1"/>
  </cols>
  <sheetData>
    <row r="1" spans="1:8" ht="11.25" customHeight="1" thickBot="1" x14ac:dyDescent="0.35">
      <c r="A1" s="105"/>
      <c r="B1" s="105"/>
      <c r="C1" s="105"/>
      <c r="D1" s="105"/>
      <c r="E1" s="105"/>
    </row>
    <row r="2" spans="1:8" ht="18.75" customHeight="1" thickBot="1" x14ac:dyDescent="0.35">
      <c r="A2" s="3" t="s">
        <v>59</v>
      </c>
      <c r="B2" s="4" t="s">
        <v>60</v>
      </c>
      <c r="C2" s="5" t="s">
        <v>61</v>
      </c>
      <c r="D2" s="22"/>
      <c r="E2" s="7" t="s">
        <v>0</v>
      </c>
      <c r="F2" s="142" t="s">
        <v>76</v>
      </c>
      <c r="G2" s="143">
        <f>E78</f>
        <v>781</v>
      </c>
      <c r="H2" s="143">
        <f>D50+D78</f>
        <v>781</v>
      </c>
    </row>
    <row r="3" spans="1:8" ht="15.75" customHeight="1" x14ac:dyDescent="0.3">
      <c r="A3" s="158">
        <v>46102</v>
      </c>
      <c r="B3" s="12"/>
      <c r="C3" s="17" t="s">
        <v>134</v>
      </c>
      <c r="D3" s="18">
        <v>1</v>
      </c>
      <c r="E3" s="14">
        <f>D3</f>
        <v>1</v>
      </c>
    </row>
    <row r="4" spans="1:8" ht="15.75" customHeight="1" x14ac:dyDescent="0.3">
      <c r="A4" s="158">
        <v>46108</v>
      </c>
      <c r="B4" s="12"/>
      <c r="C4" s="17" t="s">
        <v>31</v>
      </c>
      <c r="D4" s="18">
        <v>20</v>
      </c>
      <c r="E4" s="14">
        <f t="shared" ref="E4:E49" si="0">E3+D4</f>
        <v>21</v>
      </c>
    </row>
    <row r="5" spans="1:8" ht="15.75" customHeight="1" x14ac:dyDescent="0.3">
      <c r="A5" s="158">
        <v>46108</v>
      </c>
      <c r="B5" s="12"/>
      <c r="C5" s="17" t="s">
        <v>8</v>
      </c>
      <c r="D5" s="18">
        <v>5</v>
      </c>
      <c r="E5" s="14">
        <f t="shared" si="0"/>
        <v>26</v>
      </c>
    </row>
    <row r="6" spans="1:8" ht="15.75" customHeight="1" x14ac:dyDescent="0.3">
      <c r="A6" s="158">
        <v>46108</v>
      </c>
      <c r="B6" s="12"/>
      <c r="C6" s="17" t="s">
        <v>159</v>
      </c>
      <c r="D6" s="18">
        <v>5</v>
      </c>
      <c r="E6" s="14">
        <f t="shared" si="0"/>
        <v>31</v>
      </c>
      <c r="F6" s="165">
        <f>D50+D78</f>
        <v>781</v>
      </c>
    </row>
    <row r="7" spans="1:8" ht="15.75" customHeight="1" x14ac:dyDescent="0.3">
      <c r="A7" s="158">
        <v>46108</v>
      </c>
      <c r="B7" s="12"/>
      <c r="C7" s="175" t="s">
        <v>43</v>
      </c>
      <c r="D7" s="18">
        <v>10</v>
      </c>
      <c r="E7" s="14">
        <f t="shared" si="0"/>
        <v>41</v>
      </c>
    </row>
    <row r="8" spans="1:8" ht="15.75" customHeight="1" x14ac:dyDescent="0.3">
      <c r="A8" s="158">
        <v>46109</v>
      </c>
      <c r="B8" s="12"/>
      <c r="C8" s="17" t="s">
        <v>53</v>
      </c>
      <c r="D8" s="18">
        <v>20</v>
      </c>
      <c r="E8" s="14">
        <f t="shared" si="0"/>
        <v>61</v>
      </c>
    </row>
    <row r="9" spans="1:8" ht="15.75" customHeight="1" x14ac:dyDescent="0.3">
      <c r="A9" s="158">
        <v>46109</v>
      </c>
      <c r="B9" s="12"/>
      <c r="C9" s="17" t="s">
        <v>11</v>
      </c>
      <c r="D9" s="18">
        <v>20</v>
      </c>
      <c r="E9" s="14">
        <f t="shared" si="0"/>
        <v>81</v>
      </c>
    </row>
    <row r="10" spans="1:8" ht="15.75" customHeight="1" x14ac:dyDescent="0.3">
      <c r="A10" s="158">
        <v>46109</v>
      </c>
      <c r="B10" s="12"/>
      <c r="C10" s="212" t="s">
        <v>160</v>
      </c>
      <c r="D10" s="18">
        <v>10</v>
      </c>
      <c r="E10" s="14">
        <f t="shared" si="0"/>
        <v>91</v>
      </c>
    </row>
    <row r="11" spans="1:8" ht="15.75" customHeight="1" x14ac:dyDescent="0.3">
      <c r="A11" s="158">
        <v>46109</v>
      </c>
      <c r="B11" s="12"/>
      <c r="C11" s="175" t="s">
        <v>161</v>
      </c>
      <c r="D11" s="18">
        <v>10</v>
      </c>
      <c r="E11" s="14">
        <f t="shared" si="0"/>
        <v>101</v>
      </c>
    </row>
    <row r="12" spans="1:8" ht="15.75" customHeight="1" x14ac:dyDescent="0.3">
      <c r="A12" s="158">
        <v>46109</v>
      </c>
      <c r="B12" s="12"/>
      <c r="C12" s="239" t="s">
        <v>162</v>
      </c>
      <c r="D12" s="18">
        <v>10</v>
      </c>
      <c r="E12" s="14">
        <f t="shared" si="0"/>
        <v>111</v>
      </c>
    </row>
    <row r="13" spans="1:8" ht="15.75" customHeight="1" x14ac:dyDescent="0.3">
      <c r="A13" s="158">
        <v>46122</v>
      </c>
      <c r="B13" s="12"/>
      <c r="C13" s="239" t="s">
        <v>163</v>
      </c>
      <c r="D13" s="18">
        <v>5</v>
      </c>
      <c r="E13" s="14">
        <f t="shared" si="0"/>
        <v>116</v>
      </c>
    </row>
    <row r="14" spans="1:8" ht="15.75" customHeight="1" x14ac:dyDescent="0.3">
      <c r="A14" s="158">
        <v>46122</v>
      </c>
      <c r="B14" s="12"/>
      <c r="C14" s="239" t="s">
        <v>51</v>
      </c>
      <c r="D14" s="18">
        <v>10</v>
      </c>
      <c r="E14" s="14">
        <f t="shared" si="0"/>
        <v>126</v>
      </c>
    </row>
    <row r="15" spans="1:8" ht="15.75" customHeight="1" x14ac:dyDescent="0.3">
      <c r="A15" s="158">
        <v>46122</v>
      </c>
      <c r="B15" s="12"/>
      <c r="C15" s="239" t="s">
        <v>9</v>
      </c>
      <c r="D15" s="18">
        <v>40</v>
      </c>
      <c r="E15" s="14">
        <f t="shared" si="0"/>
        <v>166</v>
      </c>
    </row>
    <row r="16" spans="1:8" ht="15.75" customHeight="1" x14ac:dyDescent="0.3">
      <c r="A16" s="158">
        <v>46122</v>
      </c>
      <c r="B16" s="12"/>
      <c r="C16" s="239" t="s">
        <v>120</v>
      </c>
      <c r="D16" s="18">
        <v>10</v>
      </c>
      <c r="E16" s="14">
        <f t="shared" si="0"/>
        <v>176</v>
      </c>
    </row>
    <row r="17" spans="1:5" ht="15.75" customHeight="1" x14ac:dyDescent="0.3">
      <c r="A17" s="158">
        <v>46122</v>
      </c>
      <c r="B17" s="12"/>
      <c r="C17" s="239" t="s">
        <v>164</v>
      </c>
      <c r="D17" s="18">
        <v>10</v>
      </c>
      <c r="E17" s="14">
        <f t="shared" si="0"/>
        <v>186</v>
      </c>
    </row>
    <row r="18" spans="1:5" ht="15.75" customHeight="1" x14ac:dyDescent="0.3">
      <c r="A18" s="158">
        <v>46122</v>
      </c>
      <c r="B18" s="12"/>
      <c r="C18" s="239" t="s">
        <v>165</v>
      </c>
      <c r="D18" s="18">
        <v>20</v>
      </c>
      <c r="E18" s="14">
        <f t="shared" si="0"/>
        <v>206</v>
      </c>
    </row>
    <row r="19" spans="1:5" ht="15.75" customHeight="1" x14ac:dyDescent="0.3">
      <c r="A19" s="158">
        <v>46122</v>
      </c>
      <c r="B19" s="12"/>
      <c r="C19" s="17" t="s">
        <v>167</v>
      </c>
      <c r="D19" s="18">
        <v>10</v>
      </c>
      <c r="E19" s="14">
        <f t="shared" si="0"/>
        <v>216</v>
      </c>
    </row>
    <row r="20" spans="1:5" ht="15.75" customHeight="1" x14ac:dyDescent="0.3">
      <c r="A20" s="158">
        <v>46122</v>
      </c>
      <c r="B20" s="12"/>
      <c r="C20" s="17" t="s">
        <v>168</v>
      </c>
      <c r="D20" s="18">
        <v>10</v>
      </c>
      <c r="E20" s="14">
        <f t="shared" si="0"/>
        <v>226</v>
      </c>
    </row>
    <row r="21" spans="1:5" ht="15.75" customHeight="1" x14ac:dyDescent="0.3">
      <c r="A21" s="158">
        <v>46122</v>
      </c>
      <c r="B21" s="12"/>
      <c r="C21" s="17" t="s">
        <v>169</v>
      </c>
      <c r="D21" s="18">
        <v>10</v>
      </c>
      <c r="E21" s="14">
        <f t="shared" si="0"/>
        <v>236</v>
      </c>
    </row>
    <row r="22" spans="1:5" ht="15.75" customHeight="1" x14ac:dyDescent="0.3">
      <c r="A22" s="158">
        <v>46122</v>
      </c>
      <c r="B22" s="12"/>
      <c r="C22" s="17" t="s">
        <v>170</v>
      </c>
      <c r="D22" s="18">
        <v>10</v>
      </c>
      <c r="E22" s="14">
        <f t="shared" si="0"/>
        <v>246</v>
      </c>
    </row>
    <row r="23" spans="1:5" ht="15.75" customHeight="1" x14ac:dyDescent="0.3">
      <c r="A23" s="158">
        <v>46122</v>
      </c>
      <c r="B23" s="12"/>
      <c r="C23" s="17" t="s">
        <v>174</v>
      </c>
      <c r="D23" s="18">
        <v>10</v>
      </c>
      <c r="E23" s="14">
        <f t="shared" si="0"/>
        <v>256</v>
      </c>
    </row>
    <row r="24" spans="1:5" ht="15.75" customHeight="1" x14ac:dyDescent="0.3">
      <c r="A24" s="158">
        <v>46122</v>
      </c>
      <c r="B24" s="12"/>
      <c r="C24" s="17" t="s">
        <v>173</v>
      </c>
      <c r="D24" s="18">
        <v>5</v>
      </c>
      <c r="E24" s="14">
        <f t="shared" si="0"/>
        <v>261</v>
      </c>
    </row>
    <row r="25" spans="1:5" ht="15.75" customHeight="1" x14ac:dyDescent="0.3">
      <c r="A25" s="158">
        <v>46122</v>
      </c>
      <c r="B25" s="8"/>
      <c r="C25" s="17" t="s">
        <v>166</v>
      </c>
      <c r="D25" s="18">
        <v>10</v>
      </c>
      <c r="E25" s="14">
        <f t="shared" si="0"/>
        <v>271</v>
      </c>
    </row>
    <row r="26" spans="1:5" ht="15.75" customHeight="1" x14ac:dyDescent="0.3">
      <c r="A26" s="158">
        <v>46123</v>
      </c>
      <c r="B26" s="12"/>
      <c r="C26" s="17" t="s">
        <v>146</v>
      </c>
      <c r="D26" s="18">
        <v>10</v>
      </c>
      <c r="E26" s="14">
        <f t="shared" si="0"/>
        <v>281</v>
      </c>
    </row>
    <row r="27" spans="1:5" ht="15.75" customHeight="1" x14ac:dyDescent="0.3">
      <c r="A27" s="158">
        <v>46123</v>
      </c>
      <c r="B27" s="12"/>
      <c r="C27" s="17" t="s">
        <v>179</v>
      </c>
      <c r="D27" s="18">
        <v>5</v>
      </c>
      <c r="E27" s="14">
        <f t="shared" si="0"/>
        <v>286</v>
      </c>
    </row>
    <row r="28" spans="1:5" ht="15.75" customHeight="1" x14ac:dyDescent="0.3">
      <c r="A28" s="158">
        <v>46123</v>
      </c>
      <c r="B28" s="12"/>
      <c r="C28" s="17" t="s">
        <v>92</v>
      </c>
      <c r="D28" s="18">
        <v>10</v>
      </c>
      <c r="E28" s="14">
        <f t="shared" si="0"/>
        <v>296</v>
      </c>
    </row>
    <row r="29" spans="1:5" ht="15.75" customHeight="1" x14ac:dyDescent="0.3">
      <c r="A29" s="158">
        <v>46129</v>
      </c>
      <c r="B29" s="12"/>
      <c r="C29" s="17" t="s">
        <v>183</v>
      </c>
      <c r="D29" s="18">
        <v>5</v>
      </c>
      <c r="E29" s="14">
        <f t="shared" si="0"/>
        <v>301</v>
      </c>
    </row>
    <row r="30" spans="1:5" ht="15.75" customHeight="1" x14ac:dyDescent="0.3">
      <c r="A30" s="158">
        <v>46129</v>
      </c>
      <c r="B30" s="12"/>
      <c r="C30" s="17" t="s">
        <v>181</v>
      </c>
      <c r="D30" s="18">
        <v>20</v>
      </c>
      <c r="E30" s="14">
        <f t="shared" si="0"/>
        <v>321</v>
      </c>
    </row>
    <row r="31" spans="1:5" ht="15.75" customHeight="1" x14ac:dyDescent="0.3">
      <c r="A31" s="158">
        <v>46129</v>
      </c>
      <c r="B31" s="12"/>
      <c r="C31" s="17" t="s">
        <v>5</v>
      </c>
      <c r="D31" s="18">
        <v>5</v>
      </c>
      <c r="E31" s="14">
        <f t="shared" si="0"/>
        <v>326</v>
      </c>
    </row>
    <row r="32" spans="1:5" ht="15.75" customHeight="1" x14ac:dyDescent="0.3">
      <c r="A32" s="158">
        <v>46129</v>
      </c>
      <c r="B32" s="12"/>
      <c r="C32" s="17" t="s">
        <v>133</v>
      </c>
      <c r="D32" s="18">
        <v>10</v>
      </c>
      <c r="E32" s="14">
        <f t="shared" si="0"/>
        <v>336</v>
      </c>
    </row>
    <row r="33" spans="1:5" ht="15.75" customHeight="1" x14ac:dyDescent="0.3">
      <c r="A33" s="158">
        <v>46129</v>
      </c>
      <c r="B33" s="12"/>
      <c r="C33" s="17" t="s">
        <v>114</v>
      </c>
      <c r="D33" s="18">
        <v>10</v>
      </c>
      <c r="E33" s="14">
        <f t="shared" si="0"/>
        <v>346</v>
      </c>
    </row>
    <row r="34" spans="1:5" ht="15.75" customHeight="1" x14ac:dyDescent="0.3">
      <c r="A34" s="158">
        <v>46129</v>
      </c>
      <c r="B34" s="12"/>
      <c r="C34" s="17" t="s">
        <v>182</v>
      </c>
      <c r="D34" s="18">
        <v>10</v>
      </c>
      <c r="E34" s="14">
        <f t="shared" si="0"/>
        <v>356</v>
      </c>
    </row>
    <row r="35" spans="1:5" ht="15.75" customHeight="1" x14ac:dyDescent="0.3">
      <c r="A35" s="158">
        <v>46130</v>
      </c>
      <c r="B35" s="12"/>
      <c r="C35" s="17" t="s">
        <v>32</v>
      </c>
      <c r="D35" s="18">
        <v>20</v>
      </c>
      <c r="E35" s="14">
        <f t="shared" si="0"/>
        <v>376</v>
      </c>
    </row>
    <row r="36" spans="1:5" ht="15.75" customHeight="1" x14ac:dyDescent="0.3">
      <c r="A36" s="16">
        <v>46136</v>
      </c>
      <c r="B36" s="12"/>
      <c r="C36" s="13" t="s">
        <v>187</v>
      </c>
      <c r="D36" s="18">
        <v>10</v>
      </c>
      <c r="E36" s="14">
        <f t="shared" si="0"/>
        <v>386</v>
      </c>
    </row>
    <row r="37" spans="1:5" ht="15.75" customHeight="1" x14ac:dyDescent="0.3">
      <c r="A37" s="16">
        <v>46136</v>
      </c>
      <c r="B37" s="12"/>
      <c r="C37" s="13" t="s">
        <v>188</v>
      </c>
      <c r="D37" s="18">
        <v>10</v>
      </c>
      <c r="E37" s="14">
        <f t="shared" si="0"/>
        <v>396</v>
      </c>
    </row>
    <row r="38" spans="1:5" ht="15.75" customHeight="1" x14ac:dyDescent="0.3">
      <c r="A38" s="16">
        <v>46136</v>
      </c>
      <c r="B38" s="12"/>
      <c r="C38" s="13" t="s">
        <v>189</v>
      </c>
      <c r="D38" s="18">
        <v>10</v>
      </c>
      <c r="E38" s="14">
        <f t="shared" si="0"/>
        <v>406</v>
      </c>
    </row>
    <row r="39" spans="1:5" ht="15.75" customHeight="1" x14ac:dyDescent="0.3">
      <c r="A39" s="16">
        <v>46143</v>
      </c>
      <c r="B39" s="12"/>
      <c r="C39" s="13" t="s">
        <v>91</v>
      </c>
      <c r="D39" s="18">
        <v>15</v>
      </c>
      <c r="E39" s="14">
        <f t="shared" si="0"/>
        <v>421</v>
      </c>
    </row>
    <row r="40" spans="1:5" ht="15.75" customHeight="1" x14ac:dyDescent="0.3">
      <c r="A40" s="16">
        <v>46143</v>
      </c>
      <c r="B40" s="12"/>
      <c r="C40" s="13" t="s">
        <v>16</v>
      </c>
      <c r="D40" s="18">
        <v>10</v>
      </c>
      <c r="E40" s="14">
        <f t="shared" si="0"/>
        <v>431</v>
      </c>
    </row>
    <row r="41" spans="1:5" ht="15.75" customHeight="1" x14ac:dyDescent="0.3">
      <c r="A41" s="16">
        <v>46143</v>
      </c>
      <c r="B41" s="12"/>
      <c r="C41" s="13" t="s">
        <v>238</v>
      </c>
      <c r="D41" s="18">
        <v>5</v>
      </c>
      <c r="E41" s="14">
        <f t="shared" si="0"/>
        <v>436</v>
      </c>
    </row>
    <row r="42" spans="1:5" ht="15.75" customHeight="1" x14ac:dyDescent="0.3">
      <c r="A42" s="16">
        <v>46143</v>
      </c>
      <c r="B42" s="12"/>
      <c r="C42" s="13" t="s">
        <v>110</v>
      </c>
      <c r="D42" s="18">
        <v>10</v>
      </c>
      <c r="E42" s="14">
        <f t="shared" si="0"/>
        <v>446</v>
      </c>
    </row>
    <row r="43" spans="1:5" ht="15.75" customHeight="1" x14ac:dyDescent="0.3">
      <c r="A43" s="16">
        <v>46143</v>
      </c>
      <c r="B43" s="12"/>
      <c r="C43" s="13" t="s">
        <v>200</v>
      </c>
      <c r="D43" s="18">
        <v>10</v>
      </c>
      <c r="E43" s="14">
        <f t="shared" si="0"/>
        <v>456</v>
      </c>
    </row>
    <row r="44" spans="1:5" ht="15.75" customHeight="1" x14ac:dyDescent="0.3">
      <c r="A44" s="16">
        <v>46143</v>
      </c>
      <c r="B44" s="12"/>
      <c r="C44" s="13" t="s">
        <v>201</v>
      </c>
      <c r="D44" s="18">
        <v>5</v>
      </c>
      <c r="E44" s="14">
        <f t="shared" si="0"/>
        <v>461</v>
      </c>
    </row>
    <row r="45" spans="1:5" ht="15.75" customHeight="1" x14ac:dyDescent="0.3">
      <c r="A45" s="16">
        <v>46143</v>
      </c>
      <c r="B45" s="12"/>
      <c r="C45" s="13" t="s">
        <v>202</v>
      </c>
      <c r="D45" s="18">
        <v>10</v>
      </c>
      <c r="E45" s="14">
        <f t="shared" si="0"/>
        <v>471</v>
      </c>
    </row>
    <row r="46" spans="1:5" ht="15.75" customHeight="1" x14ac:dyDescent="0.3">
      <c r="A46" s="16">
        <v>46144</v>
      </c>
      <c r="B46" s="12"/>
      <c r="C46" s="13" t="s">
        <v>111</v>
      </c>
      <c r="D46" s="18">
        <v>10</v>
      </c>
      <c r="E46" s="14">
        <f t="shared" si="0"/>
        <v>481</v>
      </c>
    </row>
    <row r="47" spans="1:5" ht="15.75" customHeight="1" x14ac:dyDescent="0.3">
      <c r="A47" s="16">
        <v>46144</v>
      </c>
      <c r="B47" s="12"/>
      <c r="C47" s="13" t="s">
        <v>30</v>
      </c>
      <c r="D47" s="18">
        <v>10</v>
      </c>
      <c r="E47" s="14">
        <f t="shared" si="0"/>
        <v>491</v>
      </c>
    </row>
    <row r="48" spans="1:5" ht="15.75" customHeight="1" x14ac:dyDescent="0.3">
      <c r="A48" s="16">
        <v>46144</v>
      </c>
      <c r="B48" s="12"/>
      <c r="C48" s="13" t="s">
        <v>203</v>
      </c>
      <c r="D48" s="18">
        <v>5</v>
      </c>
      <c r="E48" s="14">
        <f t="shared" si="0"/>
        <v>496</v>
      </c>
    </row>
    <row r="49" spans="1:5" ht="15.75" customHeight="1" thickBot="1" x14ac:dyDescent="0.35">
      <c r="A49" s="16">
        <v>46144</v>
      </c>
      <c r="B49" s="12"/>
      <c r="C49" s="13" t="s">
        <v>204</v>
      </c>
      <c r="D49" s="18">
        <v>20</v>
      </c>
      <c r="E49" s="14">
        <f t="shared" si="0"/>
        <v>516</v>
      </c>
    </row>
    <row r="50" spans="1:5" ht="18.75" customHeight="1" thickBot="1" x14ac:dyDescent="0.35">
      <c r="A50" s="327" t="s">
        <v>63</v>
      </c>
      <c r="B50" s="328"/>
      <c r="C50" s="27"/>
      <c r="D50" s="329">
        <f>SUM(D3:D49)</f>
        <v>516</v>
      </c>
      <c r="E50" s="331"/>
    </row>
    <row r="51" spans="1:5" ht="18.75" customHeight="1" thickBot="1" x14ac:dyDescent="0.35">
      <c r="A51" s="3" t="s">
        <v>59</v>
      </c>
      <c r="B51" s="4" t="s">
        <v>60</v>
      </c>
      <c r="C51" s="5" t="s">
        <v>61</v>
      </c>
      <c r="D51" s="22" t="s">
        <v>64</v>
      </c>
      <c r="E51" s="7" t="s">
        <v>0</v>
      </c>
    </row>
    <row r="52" spans="1:5" ht="18.75" customHeight="1" thickBot="1" x14ac:dyDescent="0.35">
      <c r="A52" s="324" t="s">
        <v>66</v>
      </c>
      <c r="B52" s="344"/>
      <c r="C52" s="345"/>
      <c r="D52" s="258">
        <f>D50</f>
        <v>516</v>
      </c>
      <c r="E52" s="259"/>
    </row>
    <row r="53" spans="1:5" ht="18.75" customHeight="1" x14ac:dyDescent="0.3">
      <c r="A53" s="262">
        <v>46150</v>
      </c>
      <c r="B53" s="113"/>
      <c r="C53" s="114" t="s">
        <v>193</v>
      </c>
      <c r="D53" s="115">
        <v>10</v>
      </c>
      <c r="E53" s="116">
        <f>D52+D53</f>
        <v>526</v>
      </c>
    </row>
    <row r="54" spans="1:5" ht="18.75" customHeight="1" x14ac:dyDescent="0.3">
      <c r="A54" s="16">
        <v>46150</v>
      </c>
      <c r="B54" s="8"/>
      <c r="C54" s="17" t="s">
        <v>211</v>
      </c>
      <c r="D54" s="18">
        <v>10</v>
      </c>
      <c r="E54" s="10">
        <f t="shared" ref="E54:E77" si="1">E53+D54</f>
        <v>536</v>
      </c>
    </row>
    <row r="55" spans="1:5" ht="18.75" customHeight="1" x14ac:dyDescent="0.3">
      <c r="A55" s="16">
        <v>46150</v>
      </c>
      <c r="B55" s="8"/>
      <c r="C55" s="17" t="s">
        <v>212</v>
      </c>
      <c r="D55" s="18">
        <v>10</v>
      </c>
      <c r="E55" s="10">
        <f t="shared" si="1"/>
        <v>546</v>
      </c>
    </row>
    <row r="56" spans="1:5" ht="18.75" customHeight="1" x14ac:dyDescent="0.3">
      <c r="A56" s="16">
        <v>46150</v>
      </c>
      <c r="B56" s="8"/>
      <c r="C56" s="17" t="s">
        <v>213</v>
      </c>
      <c r="D56" s="18">
        <v>10</v>
      </c>
      <c r="E56" s="10">
        <f t="shared" si="1"/>
        <v>556</v>
      </c>
    </row>
    <row r="57" spans="1:5" ht="18.75" customHeight="1" x14ac:dyDescent="0.3">
      <c r="A57" s="23">
        <v>46151</v>
      </c>
      <c r="B57" s="8"/>
      <c r="C57" s="17" t="s">
        <v>214</v>
      </c>
      <c r="D57" s="18">
        <v>5</v>
      </c>
      <c r="E57" s="10">
        <f t="shared" si="1"/>
        <v>561</v>
      </c>
    </row>
    <row r="58" spans="1:5" ht="18.75" customHeight="1" x14ac:dyDescent="0.3">
      <c r="A58" s="23">
        <v>46151</v>
      </c>
      <c r="B58" s="8"/>
      <c r="C58" s="17" t="s">
        <v>215</v>
      </c>
      <c r="D58" s="18">
        <v>10</v>
      </c>
      <c r="E58" s="10">
        <f t="shared" si="1"/>
        <v>571</v>
      </c>
    </row>
    <row r="59" spans="1:5" ht="18.75" customHeight="1" x14ac:dyDescent="0.3">
      <c r="A59" s="23">
        <v>46151</v>
      </c>
      <c r="B59" s="8"/>
      <c r="C59" s="17" t="s">
        <v>10</v>
      </c>
      <c r="D59" s="18">
        <v>10</v>
      </c>
      <c r="E59" s="10">
        <f t="shared" si="1"/>
        <v>581</v>
      </c>
    </row>
    <row r="60" spans="1:5" ht="18.75" customHeight="1" x14ac:dyDescent="0.3">
      <c r="A60" s="23">
        <v>46157</v>
      </c>
      <c r="B60" s="8"/>
      <c r="C60" s="17" t="s">
        <v>221</v>
      </c>
      <c r="D60" s="18">
        <v>10</v>
      </c>
      <c r="E60" s="10">
        <f t="shared" si="1"/>
        <v>591</v>
      </c>
    </row>
    <row r="61" spans="1:5" ht="18.75" customHeight="1" x14ac:dyDescent="0.3">
      <c r="A61" s="23">
        <v>46157</v>
      </c>
      <c r="B61" s="8"/>
      <c r="C61" s="17" t="s">
        <v>222</v>
      </c>
      <c r="D61" s="18">
        <v>10</v>
      </c>
      <c r="E61" s="10">
        <f t="shared" si="1"/>
        <v>601</v>
      </c>
    </row>
    <row r="62" spans="1:5" ht="18.75" customHeight="1" x14ac:dyDescent="0.3">
      <c r="A62" s="23">
        <v>46157</v>
      </c>
      <c r="B62" s="8"/>
      <c r="C62" s="26" t="s">
        <v>50</v>
      </c>
      <c r="D62" s="18">
        <v>10</v>
      </c>
      <c r="E62" s="10">
        <f t="shared" si="1"/>
        <v>611</v>
      </c>
    </row>
    <row r="63" spans="1:5" ht="18.75" customHeight="1" x14ac:dyDescent="0.3">
      <c r="A63" s="23">
        <v>46157</v>
      </c>
      <c r="B63" s="8"/>
      <c r="C63" s="17" t="s">
        <v>223</v>
      </c>
      <c r="D63" s="18">
        <v>10</v>
      </c>
      <c r="E63" s="10">
        <f t="shared" si="1"/>
        <v>621</v>
      </c>
    </row>
    <row r="64" spans="1:5" ht="18.75" customHeight="1" x14ac:dyDescent="0.3">
      <c r="A64" s="23">
        <v>46158</v>
      </c>
      <c r="B64" s="8"/>
      <c r="C64" s="17" t="s">
        <v>237</v>
      </c>
      <c r="D64" s="18">
        <v>10</v>
      </c>
      <c r="E64" s="10">
        <f t="shared" si="1"/>
        <v>631</v>
      </c>
    </row>
    <row r="65" spans="1:5" ht="18.75" customHeight="1" x14ac:dyDescent="0.3">
      <c r="A65" s="16">
        <v>46164</v>
      </c>
      <c r="B65" s="8"/>
      <c r="C65" s="17" t="s">
        <v>227</v>
      </c>
      <c r="D65" s="18">
        <v>25</v>
      </c>
      <c r="E65" s="10">
        <f t="shared" si="1"/>
        <v>656</v>
      </c>
    </row>
    <row r="66" spans="1:5" ht="18.75" customHeight="1" x14ac:dyDescent="0.3">
      <c r="A66" s="16">
        <v>46164</v>
      </c>
      <c r="B66" s="8"/>
      <c r="C66" s="13" t="s">
        <v>132</v>
      </c>
      <c r="D66" s="18">
        <v>5</v>
      </c>
      <c r="E66" s="10">
        <f t="shared" si="1"/>
        <v>661</v>
      </c>
    </row>
    <row r="67" spans="1:5" ht="18.75" customHeight="1" x14ac:dyDescent="0.3">
      <c r="A67" s="16">
        <v>46164</v>
      </c>
      <c r="B67" s="8"/>
      <c r="C67" s="13" t="s">
        <v>228</v>
      </c>
      <c r="D67" s="18">
        <v>20</v>
      </c>
      <c r="E67" s="10">
        <f t="shared" si="1"/>
        <v>681</v>
      </c>
    </row>
    <row r="68" spans="1:5" ht="18.75" customHeight="1" x14ac:dyDescent="0.3">
      <c r="A68" s="16">
        <v>46165</v>
      </c>
      <c r="B68" s="8"/>
      <c r="C68" s="13" t="s">
        <v>39</v>
      </c>
      <c r="D68" s="18">
        <v>10</v>
      </c>
      <c r="E68" s="10">
        <f t="shared" si="1"/>
        <v>691</v>
      </c>
    </row>
    <row r="69" spans="1:5" ht="18.75" customHeight="1" x14ac:dyDescent="0.3">
      <c r="A69" s="16">
        <v>46165</v>
      </c>
      <c r="B69" s="8"/>
      <c r="C69" s="13" t="s">
        <v>229</v>
      </c>
      <c r="D69" s="18">
        <v>10</v>
      </c>
      <c r="E69" s="10">
        <f t="shared" si="1"/>
        <v>701</v>
      </c>
    </row>
    <row r="70" spans="1:5" ht="18.75" customHeight="1" x14ac:dyDescent="0.3">
      <c r="A70" s="16">
        <v>46165</v>
      </c>
      <c r="B70" s="8"/>
      <c r="C70" s="13" t="s">
        <v>94</v>
      </c>
      <c r="D70" s="18">
        <v>10</v>
      </c>
      <c r="E70" s="10">
        <f t="shared" si="1"/>
        <v>711</v>
      </c>
    </row>
    <row r="71" spans="1:5" ht="18.75" customHeight="1" x14ac:dyDescent="0.3">
      <c r="A71" s="16">
        <v>46165</v>
      </c>
      <c r="B71" s="8"/>
      <c r="C71" s="250" t="s">
        <v>186</v>
      </c>
      <c r="D71" s="18">
        <v>20</v>
      </c>
      <c r="E71" s="10">
        <f t="shared" si="1"/>
        <v>731</v>
      </c>
    </row>
    <row r="72" spans="1:5" ht="18.75" customHeight="1" x14ac:dyDescent="0.3">
      <c r="A72" s="16">
        <v>46165</v>
      </c>
      <c r="B72" s="8"/>
      <c r="C72" s="250" t="s">
        <v>205</v>
      </c>
      <c r="D72" s="18">
        <v>10</v>
      </c>
      <c r="E72" s="10">
        <f t="shared" si="1"/>
        <v>741</v>
      </c>
    </row>
    <row r="73" spans="1:5" ht="18.75" customHeight="1" x14ac:dyDescent="0.3">
      <c r="A73" s="16">
        <v>46165</v>
      </c>
      <c r="B73" s="8"/>
      <c r="C73" s="13" t="s">
        <v>232</v>
      </c>
      <c r="D73" s="18">
        <v>10</v>
      </c>
      <c r="E73" s="10">
        <f t="shared" si="1"/>
        <v>751</v>
      </c>
    </row>
    <row r="74" spans="1:5" ht="18.75" customHeight="1" x14ac:dyDescent="0.3">
      <c r="A74" s="16">
        <v>46165</v>
      </c>
      <c r="B74" s="8"/>
      <c r="C74" s="13" t="s">
        <v>40</v>
      </c>
      <c r="D74" s="18">
        <v>10</v>
      </c>
      <c r="E74" s="10">
        <f t="shared" si="1"/>
        <v>761</v>
      </c>
    </row>
    <row r="75" spans="1:5" ht="18.75" customHeight="1" x14ac:dyDescent="0.3">
      <c r="A75" s="16">
        <v>46168</v>
      </c>
      <c r="B75" s="8"/>
      <c r="C75" s="13" t="s">
        <v>231</v>
      </c>
      <c r="D75" s="18">
        <v>10</v>
      </c>
      <c r="E75" s="10">
        <f t="shared" si="1"/>
        <v>771</v>
      </c>
    </row>
    <row r="76" spans="1:5" ht="18.75" customHeight="1" x14ac:dyDescent="0.3">
      <c r="A76" s="16">
        <v>46171</v>
      </c>
      <c r="B76" s="8"/>
      <c r="C76" s="13" t="s">
        <v>233</v>
      </c>
      <c r="D76" s="18">
        <v>5</v>
      </c>
      <c r="E76" s="10">
        <f t="shared" si="1"/>
        <v>776</v>
      </c>
    </row>
    <row r="77" spans="1:5" ht="18.75" customHeight="1" thickBot="1" x14ac:dyDescent="0.35">
      <c r="A77" s="263">
        <v>46172</v>
      </c>
      <c r="B77" s="118"/>
      <c r="C77" s="264" t="s">
        <v>99</v>
      </c>
      <c r="D77" s="120">
        <v>5</v>
      </c>
      <c r="E77" s="121">
        <f t="shared" si="1"/>
        <v>781</v>
      </c>
    </row>
    <row r="78" spans="1:5" ht="18.75" customHeight="1" thickBot="1" x14ac:dyDescent="0.35">
      <c r="A78" s="346" t="s">
        <v>63</v>
      </c>
      <c r="B78" s="347"/>
      <c r="C78" s="112"/>
      <c r="D78" s="260">
        <f>SUM(D53:D77)</f>
        <v>265</v>
      </c>
      <c r="E78" s="261">
        <f>E77</f>
        <v>781</v>
      </c>
    </row>
    <row r="79" spans="1:5" ht="18.75" customHeight="1" x14ac:dyDescent="0.3">
      <c r="A79" s="42"/>
      <c r="B79" s="42"/>
      <c r="C79" s="43"/>
      <c r="D79" s="44"/>
      <c r="E79" s="154"/>
    </row>
    <row r="80" spans="1:5" ht="18.75" customHeight="1" x14ac:dyDescent="0.3">
      <c r="A80" s="348" t="s">
        <v>248</v>
      </c>
      <c r="B80" s="348"/>
      <c r="C80" s="348"/>
      <c r="D80" s="348"/>
      <c r="E80" s="348"/>
    </row>
    <row r="81" spans="1:5" ht="18.75" customHeight="1" x14ac:dyDescent="0.3">
      <c r="A81" s="42"/>
      <c r="B81" s="42"/>
      <c r="C81" s="43"/>
      <c r="D81" s="44"/>
      <c r="E81" s="154"/>
    </row>
    <row r="82" spans="1:5" ht="18.75" customHeight="1" x14ac:dyDescent="0.3">
      <c r="A82" s="16">
        <v>46173</v>
      </c>
      <c r="B82" s="340" t="s">
        <v>249</v>
      </c>
      <c r="C82" s="340"/>
      <c r="D82" s="255"/>
      <c r="E82" s="256">
        <v>781</v>
      </c>
    </row>
    <row r="83" spans="1:5" ht="18.75" customHeight="1" x14ac:dyDescent="0.3">
      <c r="A83" s="16">
        <v>46173</v>
      </c>
      <c r="B83" s="340" t="s">
        <v>250</v>
      </c>
      <c r="C83" s="340"/>
      <c r="D83" s="255">
        <v>502.87</v>
      </c>
      <c r="E83" s="256"/>
    </row>
    <row r="84" spans="1:5" ht="18.75" customHeight="1" x14ac:dyDescent="0.3">
      <c r="A84" s="16">
        <v>46173</v>
      </c>
      <c r="B84" s="343" t="s">
        <v>251</v>
      </c>
      <c r="C84" s="343"/>
      <c r="D84" s="255">
        <v>164.64</v>
      </c>
      <c r="E84" s="256"/>
    </row>
    <row r="85" spans="1:5" ht="18.75" customHeight="1" thickBot="1" x14ac:dyDescent="0.35">
      <c r="A85" s="16">
        <v>46177</v>
      </c>
      <c r="B85" s="343" t="s">
        <v>254</v>
      </c>
      <c r="C85" s="343"/>
      <c r="D85" s="255">
        <v>82.15</v>
      </c>
      <c r="E85" s="256"/>
    </row>
    <row r="86" spans="1:5" ht="18.75" customHeight="1" thickBot="1" x14ac:dyDescent="0.35">
      <c r="A86" s="42"/>
      <c r="B86" s="341" t="s">
        <v>0</v>
      </c>
      <c r="C86" s="342"/>
      <c r="D86" s="257">
        <f>SUM(D83:D85)</f>
        <v>749.66</v>
      </c>
      <c r="E86" s="256">
        <f>SUM(E82:E85)</f>
        <v>781</v>
      </c>
    </row>
    <row r="87" spans="1:5" ht="18.75" customHeight="1" thickBot="1" x14ac:dyDescent="0.35">
      <c r="A87" s="42"/>
      <c r="B87" s="42"/>
      <c r="C87" s="43"/>
      <c r="D87" s="253"/>
      <c r="E87" s="254"/>
    </row>
    <row r="88" spans="1:5" ht="18.75" customHeight="1" thickBot="1" x14ac:dyDescent="0.35">
      <c r="A88" s="42"/>
      <c r="B88" s="341" t="s">
        <v>252</v>
      </c>
      <c r="C88" s="342"/>
      <c r="D88" s="338">
        <f>E86-D86</f>
        <v>31.340000000000032</v>
      </c>
      <c r="E88" s="339"/>
    </row>
    <row r="89" spans="1:5" ht="18.75" customHeight="1" x14ac:dyDescent="0.3">
      <c r="A89" s="42"/>
      <c r="B89" s="42"/>
      <c r="C89" s="43"/>
      <c r="D89" s="253"/>
      <c r="E89" s="254"/>
    </row>
    <row r="90" spans="1:5" ht="18.75" customHeight="1" x14ac:dyDescent="0.3">
      <c r="A90" s="42"/>
      <c r="B90" s="42"/>
      <c r="C90" s="43"/>
      <c r="D90" s="253"/>
      <c r="E90" s="254"/>
    </row>
    <row r="91" spans="1:5" ht="18.75" customHeight="1" x14ac:dyDescent="0.3">
      <c r="A91" s="42"/>
      <c r="B91" s="42"/>
      <c r="C91" s="43"/>
      <c r="D91" s="253"/>
      <c r="E91" s="254"/>
    </row>
    <row r="92" spans="1:5" ht="18.75" customHeight="1" x14ac:dyDescent="0.3">
      <c r="A92" s="42"/>
      <c r="B92" s="42"/>
      <c r="C92" s="43"/>
      <c r="D92" s="44"/>
      <c r="E92" s="154"/>
    </row>
    <row r="93" spans="1:5" ht="18.75" customHeight="1" x14ac:dyDescent="0.3">
      <c r="A93" s="42"/>
      <c r="B93" s="42"/>
      <c r="C93" s="43"/>
      <c r="D93" s="44"/>
      <c r="E93" s="154"/>
    </row>
    <row r="94" spans="1:5" ht="18.75" customHeight="1" x14ac:dyDescent="0.3">
      <c r="A94" s="42"/>
      <c r="B94" s="42"/>
      <c r="C94" s="43"/>
      <c r="D94" s="44"/>
      <c r="E94" s="154"/>
    </row>
    <row r="95" spans="1:5" ht="18.75" customHeight="1" x14ac:dyDescent="0.3">
      <c r="A95" s="42"/>
      <c r="B95" s="42"/>
      <c r="C95" s="43"/>
      <c r="D95" s="44"/>
      <c r="E95" s="154"/>
    </row>
    <row r="96" spans="1:5" ht="18.75" customHeight="1" x14ac:dyDescent="0.3">
      <c r="A96" s="42"/>
      <c r="B96" s="42"/>
      <c r="C96" s="43"/>
      <c r="D96" s="44"/>
      <c r="E96" s="154"/>
    </row>
    <row r="97" spans="1:5" ht="18.75" customHeight="1" x14ac:dyDescent="0.3">
      <c r="A97" s="42"/>
      <c r="B97" s="42"/>
      <c r="C97" s="43"/>
      <c r="D97" s="44"/>
      <c r="E97" s="154"/>
    </row>
    <row r="98" spans="1:5" ht="18.75" customHeight="1" x14ac:dyDescent="0.3">
      <c r="A98" s="42"/>
      <c r="B98" s="42"/>
      <c r="C98" s="43"/>
      <c r="D98" s="44"/>
      <c r="E98" s="154"/>
    </row>
    <row r="99" spans="1:5" ht="18.75" customHeight="1" x14ac:dyDescent="0.3">
      <c r="A99" s="42"/>
      <c r="B99" s="42"/>
      <c r="C99" s="43"/>
      <c r="D99" s="44"/>
      <c r="E99" s="154"/>
    </row>
    <row r="100" spans="1:5" ht="18.75" customHeight="1" x14ac:dyDescent="0.3">
      <c r="A100" s="42"/>
      <c r="B100" s="42"/>
      <c r="C100" s="43"/>
      <c r="D100" s="44"/>
      <c r="E100" s="154"/>
    </row>
    <row r="101" spans="1:5" ht="18.75" customHeight="1" x14ac:dyDescent="0.3">
      <c r="A101" s="42"/>
      <c r="B101" s="42"/>
      <c r="C101" s="43"/>
      <c r="D101" s="44"/>
      <c r="E101" s="154"/>
    </row>
    <row r="102" spans="1:5" ht="18.75" customHeight="1" x14ac:dyDescent="0.3">
      <c r="A102" s="42"/>
      <c r="B102" s="42"/>
      <c r="C102" s="43"/>
      <c r="D102" s="44"/>
      <c r="E102" s="154"/>
    </row>
    <row r="103" spans="1:5" ht="18.75" customHeight="1" x14ac:dyDescent="0.3">
      <c r="A103" s="42"/>
      <c r="B103" s="42"/>
      <c r="C103" s="43"/>
      <c r="D103" s="44"/>
      <c r="E103" s="154"/>
    </row>
    <row r="104" spans="1:5" ht="18.75" customHeight="1" x14ac:dyDescent="0.3">
      <c r="A104" s="42"/>
      <c r="B104" s="42"/>
      <c r="C104" s="43"/>
      <c r="D104" s="44"/>
      <c r="E104" s="154"/>
    </row>
    <row r="105" spans="1:5" ht="18.75" customHeight="1" x14ac:dyDescent="0.3">
      <c r="A105" s="42"/>
      <c r="B105" s="42"/>
      <c r="C105" s="43"/>
      <c r="D105" s="44"/>
      <c r="E105" s="154"/>
    </row>
    <row r="106" spans="1:5" ht="18.75" customHeight="1" x14ac:dyDescent="0.3">
      <c r="A106" s="42"/>
      <c r="B106" s="42"/>
      <c r="C106" s="43"/>
      <c r="D106" s="44"/>
      <c r="E106" s="154"/>
    </row>
  </sheetData>
  <mergeCells count="12">
    <mergeCell ref="A50:B50"/>
    <mergeCell ref="D50:E50"/>
    <mergeCell ref="A52:C52"/>
    <mergeCell ref="A78:B78"/>
    <mergeCell ref="A80:E80"/>
    <mergeCell ref="D88:E88"/>
    <mergeCell ref="B82:C82"/>
    <mergeCell ref="B83:C83"/>
    <mergeCell ref="B86:C86"/>
    <mergeCell ref="B88:C88"/>
    <mergeCell ref="B84:C84"/>
    <mergeCell ref="B85:C85"/>
  </mergeCells>
  <pageMargins left="0.45" right="0.45" top="0.5" bottom="0.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76C53-9EFC-44FF-9218-F1E6FE66CE03}">
  <dimension ref="A2:F11"/>
  <sheetViews>
    <sheetView tabSelected="1" topLeftCell="A8" workbookViewId="0">
      <selection activeCell="A15" sqref="A15"/>
    </sheetView>
  </sheetViews>
  <sheetFormatPr defaultRowHeight="14.4" x14ac:dyDescent="0.3"/>
  <cols>
    <col min="1" max="1" width="10.77734375" customWidth="1"/>
    <col min="3" max="3" width="27.44140625" customWidth="1"/>
    <col min="4" max="4" width="16.109375" customWidth="1"/>
    <col min="5" max="5" width="10.5546875" bestFit="1" customWidth="1"/>
  </cols>
  <sheetData>
    <row r="2" spans="1:6" x14ac:dyDescent="0.3">
      <c r="B2" s="355"/>
      <c r="C2" s="355"/>
      <c r="D2" s="355"/>
      <c r="E2" s="355"/>
      <c r="F2" s="355"/>
    </row>
    <row r="3" spans="1:6" ht="23.4" x14ac:dyDescent="0.45">
      <c r="B3" s="355" t="s">
        <v>266</v>
      </c>
      <c r="C3" s="355"/>
      <c r="D3" s="355"/>
      <c r="E3" s="355"/>
      <c r="F3" s="355"/>
    </row>
    <row r="5" spans="1:6" ht="17.399999999999999" x14ac:dyDescent="0.3">
      <c r="A5" s="16">
        <v>46173</v>
      </c>
      <c r="B5" s="340" t="s">
        <v>249</v>
      </c>
      <c r="C5" s="340"/>
      <c r="D5" s="255"/>
      <c r="E5" s="256">
        <v>781</v>
      </c>
    </row>
    <row r="6" spans="1:6" ht="17.399999999999999" x14ac:dyDescent="0.3">
      <c r="A6" s="16">
        <v>46173</v>
      </c>
      <c r="B6" s="340" t="s">
        <v>250</v>
      </c>
      <c r="C6" s="340"/>
      <c r="D6" s="255">
        <v>502.87</v>
      </c>
      <c r="E6" s="256"/>
    </row>
    <row r="7" spans="1:6" ht="17.399999999999999" x14ac:dyDescent="0.3">
      <c r="A7" s="16">
        <v>46173</v>
      </c>
      <c r="B7" s="343" t="s">
        <v>267</v>
      </c>
      <c r="C7" s="343"/>
      <c r="D7" s="255">
        <v>164.64</v>
      </c>
      <c r="E7" s="256"/>
    </row>
    <row r="8" spans="1:6" ht="18" thickBot="1" x14ac:dyDescent="0.35">
      <c r="A8" s="16">
        <v>46177</v>
      </c>
      <c r="B8" s="343" t="s">
        <v>268</v>
      </c>
      <c r="C8" s="343"/>
      <c r="D8" s="255">
        <v>82.15</v>
      </c>
      <c r="E8" s="256"/>
    </row>
    <row r="9" spans="1:6" ht="18" thickBot="1" x14ac:dyDescent="0.35">
      <c r="A9" s="42"/>
      <c r="B9" s="341" t="s">
        <v>0</v>
      </c>
      <c r="C9" s="342"/>
      <c r="D9" s="257">
        <f>SUM(D6:D8)</f>
        <v>749.66</v>
      </c>
      <c r="E9" s="256">
        <f>SUM(E5:E8)</f>
        <v>781</v>
      </c>
    </row>
    <row r="10" spans="1:6" ht="18" thickBot="1" x14ac:dyDescent="0.35">
      <c r="A10" s="42"/>
      <c r="B10" s="42"/>
      <c r="C10" s="43"/>
      <c r="D10" s="253"/>
      <c r="E10" s="254"/>
    </row>
    <row r="11" spans="1:6" ht="18" thickBot="1" x14ac:dyDescent="0.35">
      <c r="A11" s="42"/>
      <c r="B11" s="341" t="s">
        <v>252</v>
      </c>
      <c r="C11" s="342"/>
      <c r="D11" s="338">
        <f>E9-D9</f>
        <v>31.340000000000032</v>
      </c>
      <c r="E11" s="339"/>
    </row>
  </sheetData>
  <mergeCells count="7">
    <mergeCell ref="D11:E11"/>
    <mergeCell ref="B5:C5"/>
    <mergeCell ref="B6:C6"/>
    <mergeCell ref="B7:C7"/>
    <mergeCell ref="B8:C8"/>
    <mergeCell ref="B9:C9"/>
    <mergeCell ref="B11:C1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BB0C5-90CF-4193-91C6-44B695297139}">
  <dimension ref="A1:D15"/>
  <sheetViews>
    <sheetView showGridLines="0" workbookViewId="0">
      <selection activeCell="B6" sqref="B6"/>
    </sheetView>
  </sheetViews>
  <sheetFormatPr defaultRowHeight="14.4" x14ac:dyDescent="0.3"/>
  <cols>
    <col min="1" max="1" width="12.88671875" customWidth="1"/>
    <col min="2" max="2" width="34.6640625" customWidth="1"/>
    <col min="3" max="3" width="13.5546875" customWidth="1"/>
    <col min="4" max="4" width="17.5546875" customWidth="1"/>
  </cols>
  <sheetData>
    <row r="1" spans="1:4" ht="18" thickBot="1" x14ac:dyDescent="0.35">
      <c r="A1" s="213"/>
      <c r="B1" s="214" t="s">
        <v>152</v>
      </c>
      <c r="C1" s="215"/>
      <c r="D1" s="106">
        <f>C13</f>
        <v>35.75</v>
      </c>
    </row>
    <row r="2" spans="1:4" x14ac:dyDescent="0.3">
      <c r="A2" s="216" t="s">
        <v>59</v>
      </c>
      <c r="B2" s="217" t="s">
        <v>153</v>
      </c>
      <c r="C2" s="218" t="s">
        <v>154</v>
      </c>
      <c r="D2" s="219" t="s">
        <v>0</v>
      </c>
    </row>
    <row r="3" spans="1:4" x14ac:dyDescent="0.3">
      <c r="A3" s="220">
        <v>46099</v>
      </c>
      <c r="B3" s="220" t="s">
        <v>155</v>
      </c>
      <c r="C3" s="139">
        <v>12.5</v>
      </c>
      <c r="D3" s="224">
        <f>C3</f>
        <v>12.5</v>
      </c>
    </row>
    <row r="4" spans="1:4" x14ac:dyDescent="0.3">
      <c r="A4" s="221">
        <v>46106</v>
      </c>
      <c r="B4" s="222" t="s">
        <v>155</v>
      </c>
      <c r="C4" s="223">
        <v>5.25</v>
      </c>
      <c r="D4" s="224">
        <f>D3+C4</f>
        <v>17.75</v>
      </c>
    </row>
    <row r="5" spans="1:4" ht="14.1" customHeight="1" x14ac:dyDescent="0.3">
      <c r="A5" s="225">
        <v>46113</v>
      </c>
      <c r="B5" s="222" t="s">
        <v>155</v>
      </c>
      <c r="C5" s="223">
        <v>12</v>
      </c>
      <c r="D5" s="224">
        <f t="shared" ref="D5:D11" si="0">D4+C5</f>
        <v>29.75</v>
      </c>
    </row>
    <row r="6" spans="1:4" ht="14.1" customHeight="1" x14ac:dyDescent="0.3">
      <c r="A6" s="225">
        <v>46162</v>
      </c>
      <c r="B6" s="252" t="s">
        <v>155</v>
      </c>
      <c r="C6" s="226">
        <v>6</v>
      </c>
      <c r="D6" s="224">
        <f t="shared" si="0"/>
        <v>35.75</v>
      </c>
    </row>
    <row r="7" spans="1:4" ht="14.1" customHeight="1" x14ac:dyDescent="0.3">
      <c r="A7" s="225"/>
      <c r="B7" s="222"/>
      <c r="C7" s="226"/>
      <c r="D7" s="224">
        <f t="shared" si="0"/>
        <v>35.75</v>
      </c>
    </row>
    <row r="8" spans="1:4" ht="14.1" customHeight="1" x14ac:dyDescent="0.3">
      <c r="A8" s="225"/>
      <c r="B8" s="222"/>
      <c r="C8" s="226"/>
      <c r="D8" s="224">
        <f t="shared" si="0"/>
        <v>35.75</v>
      </c>
    </row>
    <row r="9" spans="1:4" ht="14.1" customHeight="1" x14ac:dyDescent="0.3">
      <c r="A9" s="227"/>
      <c r="B9" s="228"/>
      <c r="C9" s="226"/>
      <c r="D9" s="224">
        <f t="shared" si="0"/>
        <v>35.75</v>
      </c>
    </row>
    <row r="10" spans="1:4" ht="14.1" customHeight="1" x14ac:dyDescent="0.3">
      <c r="A10" s="227"/>
      <c r="B10" s="228"/>
      <c r="C10" s="226"/>
      <c r="D10" s="224">
        <f t="shared" si="0"/>
        <v>35.75</v>
      </c>
    </row>
    <row r="11" spans="1:4" ht="14.1" customHeight="1" x14ac:dyDescent="0.3">
      <c r="A11" s="221"/>
      <c r="B11" s="222"/>
      <c r="C11" s="223"/>
      <c r="D11" s="224">
        <f t="shared" si="0"/>
        <v>35.75</v>
      </c>
    </row>
    <row r="12" spans="1:4" ht="15" thickBot="1" x14ac:dyDescent="0.35">
      <c r="A12" s="227"/>
      <c r="B12" s="229"/>
      <c r="C12" s="226"/>
      <c r="D12" s="21"/>
    </row>
    <row r="13" spans="1:4" ht="18" thickBot="1" x14ac:dyDescent="0.35">
      <c r="A13" s="230" t="s">
        <v>0</v>
      </c>
      <c r="B13" s="231"/>
      <c r="C13" s="231">
        <f>SUM(C3:C12)</f>
        <v>35.75</v>
      </c>
      <c r="D13" s="230"/>
    </row>
    <row r="14" spans="1:4" ht="15" thickBot="1" x14ac:dyDescent="0.35"/>
    <row r="15" spans="1:4" ht="18" thickBot="1" x14ac:dyDescent="0.35">
      <c r="A15" s="230" t="s">
        <v>76</v>
      </c>
      <c r="B15" s="231"/>
      <c r="C15" s="231">
        <f>D1</f>
        <v>35.75</v>
      </c>
      <c r="D15" s="232"/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N52"/>
  <sheetViews>
    <sheetView showGridLines="0" topLeftCell="A46" zoomScale="90" zoomScaleNormal="90" workbookViewId="0">
      <selection activeCell="G12" sqref="G12:J12"/>
    </sheetView>
  </sheetViews>
  <sheetFormatPr defaultColWidth="9.109375" defaultRowHeight="15" x14ac:dyDescent="0.3"/>
  <cols>
    <col min="1" max="1" width="1" style="52" customWidth="1"/>
    <col min="2" max="2" width="21.44140625" style="52" customWidth="1"/>
    <col min="3" max="3" width="34.33203125" style="52" customWidth="1"/>
    <col min="4" max="4" width="4.5546875" style="52" customWidth="1"/>
    <col min="5" max="5" width="12.6640625" style="52" customWidth="1"/>
    <col min="6" max="6" width="1.6640625" style="52" customWidth="1"/>
    <col min="7" max="7" width="5.6640625" style="52" customWidth="1"/>
    <col min="8" max="8" width="13.33203125" style="52" customWidth="1"/>
    <col min="9" max="9" width="13" style="52" customWidth="1"/>
    <col min="10" max="10" width="46.88671875" style="52" customWidth="1"/>
    <col min="11" max="11" width="4" style="52" customWidth="1"/>
    <col min="12" max="12" width="13.33203125" style="52" customWidth="1"/>
    <col min="13" max="13" width="9.109375" style="52"/>
    <col min="14" max="14" width="9.5546875" style="52" bestFit="1" customWidth="1"/>
    <col min="15" max="16384" width="9.109375" style="52"/>
  </cols>
  <sheetData>
    <row r="1" spans="2:12" ht="15.6" thickBot="1" x14ac:dyDescent="0.35"/>
    <row r="2" spans="2:12" ht="15.6" thickTop="1" x14ac:dyDescent="0.3">
      <c r="B2" s="299" t="s">
        <v>67</v>
      </c>
      <c r="C2" s="300"/>
      <c r="D2" s="300"/>
      <c r="E2" s="300"/>
      <c r="F2" s="300"/>
      <c r="G2" s="300"/>
      <c r="H2" s="300"/>
      <c r="I2" s="300"/>
      <c r="J2" s="300"/>
      <c r="K2" s="300"/>
      <c r="L2" s="53"/>
    </row>
    <row r="3" spans="2:12" s="48" customFormat="1" ht="15.6" x14ac:dyDescent="0.3">
      <c r="B3" s="301" t="s">
        <v>253</v>
      </c>
      <c r="C3" s="302"/>
      <c r="D3" s="302"/>
      <c r="E3" s="302"/>
      <c r="F3" s="302"/>
      <c r="G3" s="302"/>
      <c r="H3" s="302"/>
      <c r="I3" s="302"/>
      <c r="J3" s="302"/>
      <c r="K3" s="302"/>
      <c r="L3" s="303"/>
    </row>
    <row r="4" spans="2:12" s="124" customFormat="1" ht="15.75" customHeight="1" x14ac:dyDescent="0.35">
      <c r="B4" s="304" t="s">
        <v>68</v>
      </c>
      <c r="C4" s="305"/>
      <c r="D4" s="305"/>
      <c r="E4" s="305"/>
      <c r="F4" s="123"/>
      <c r="G4" s="306" t="s">
        <v>72</v>
      </c>
      <c r="H4" s="306"/>
      <c r="I4" s="306"/>
      <c r="J4" s="306"/>
      <c r="K4" s="306"/>
      <c r="L4" s="307"/>
    </row>
    <row r="5" spans="2:12" ht="12" customHeight="1" x14ac:dyDescent="0.3">
      <c r="B5" s="55"/>
      <c r="C5" s="56"/>
      <c r="D5" s="56"/>
      <c r="E5" s="56"/>
      <c r="F5" s="97"/>
      <c r="K5" s="54"/>
      <c r="L5" s="57"/>
    </row>
    <row r="6" spans="2:12" ht="15" customHeight="1" x14ac:dyDescent="0.35">
      <c r="B6" s="308" t="s">
        <v>69</v>
      </c>
      <c r="C6" s="309"/>
      <c r="D6" s="310"/>
      <c r="E6" s="54"/>
      <c r="F6" s="104"/>
      <c r="G6" s="311" t="s">
        <v>69</v>
      </c>
      <c r="H6" s="312"/>
      <c r="I6" s="312"/>
      <c r="J6" s="313"/>
      <c r="K6" s="54"/>
      <c r="L6" s="57"/>
    </row>
    <row r="7" spans="2:12" ht="6.75" customHeight="1" x14ac:dyDescent="0.3">
      <c r="B7" s="59"/>
      <c r="C7" s="60"/>
      <c r="D7" s="58"/>
      <c r="E7" s="54"/>
      <c r="F7" s="97"/>
      <c r="J7" s="61"/>
      <c r="K7" s="54"/>
      <c r="L7" s="62"/>
    </row>
    <row r="8" spans="2:12" x14ac:dyDescent="0.3">
      <c r="B8" s="274" t="s">
        <v>123</v>
      </c>
      <c r="C8" s="275"/>
      <c r="D8" s="161" t="s">
        <v>79</v>
      </c>
      <c r="E8" s="95">
        <v>338.57299999999998</v>
      </c>
      <c r="F8" s="98"/>
      <c r="G8" s="297" t="s">
        <v>123</v>
      </c>
      <c r="H8" s="298"/>
      <c r="I8" s="298"/>
      <c r="J8" s="298"/>
      <c r="K8" s="126" t="s">
        <v>79</v>
      </c>
      <c r="L8" s="64">
        <v>1893.6389999999999</v>
      </c>
    </row>
    <row r="9" spans="2:12" x14ac:dyDescent="0.3">
      <c r="B9" s="274" t="s">
        <v>256</v>
      </c>
      <c r="C9" s="275"/>
      <c r="D9" s="161" t="s">
        <v>79</v>
      </c>
      <c r="E9" s="95">
        <v>21</v>
      </c>
      <c r="F9" s="98"/>
      <c r="G9" s="278" t="s">
        <v>264</v>
      </c>
      <c r="H9" s="279"/>
      <c r="I9" s="279"/>
      <c r="J9" s="279"/>
      <c r="K9" s="127" t="s">
        <v>79</v>
      </c>
      <c r="L9" s="65">
        <v>150</v>
      </c>
    </row>
    <row r="10" spans="2:12" x14ac:dyDescent="0.3">
      <c r="B10" s="274" t="s">
        <v>257</v>
      </c>
      <c r="C10" s="275"/>
      <c r="D10" s="161" t="s">
        <v>79</v>
      </c>
      <c r="E10" s="95">
        <v>15</v>
      </c>
      <c r="F10" s="98"/>
      <c r="G10" s="278" t="s">
        <v>225</v>
      </c>
      <c r="H10" s="279"/>
      <c r="I10" s="279"/>
      <c r="J10" s="279"/>
      <c r="K10" s="127" t="s">
        <v>79</v>
      </c>
      <c r="L10" s="65">
        <v>384</v>
      </c>
    </row>
    <row r="11" spans="2:12" x14ac:dyDescent="0.3">
      <c r="B11" s="274" t="s">
        <v>258</v>
      </c>
      <c r="C11" s="275"/>
      <c r="D11" s="161" t="s">
        <v>79</v>
      </c>
      <c r="E11" s="95">
        <v>21</v>
      </c>
      <c r="F11" s="98"/>
      <c r="G11" s="278" t="s">
        <v>226</v>
      </c>
      <c r="H11" s="279"/>
      <c r="I11" s="279"/>
      <c r="J11" s="279"/>
      <c r="K11" s="127" t="s">
        <v>79</v>
      </c>
      <c r="L11" s="65">
        <v>253</v>
      </c>
    </row>
    <row r="12" spans="2:12" x14ac:dyDescent="0.3">
      <c r="B12" s="274" t="s">
        <v>259</v>
      </c>
      <c r="C12" s="275"/>
      <c r="D12" s="161" t="s">
        <v>79</v>
      </c>
      <c r="E12" s="95">
        <v>83</v>
      </c>
      <c r="F12" s="98"/>
      <c r="G12" s="278" t="s">
        <v>265</v>
      </c>
      <c r="H12" s="279"/>
      <c r="I12" s="279"/>
      <c r="J12" s="279"/>
      <c r="K12" s="127" t="s">
        <v>79</v>
      </c>
      <c r="L12" s="65">
        <v>142</v>
      </c>
    </row>
    <row r="13" spans="2:12" x14ac:dyDescent="0.3">
      <c r="B13" s="274" t="s">
        <v>260</v>
      </c>
      <c r="C13" s="275"/>
      <c r="D13" s="161" t="s">
        <v>79</v>
      </c>
      <c r="E13" s="95">
        <v>40</v>
      </c>
      <c r="F13" s="98"/>
      <c r="G13" s="278" t="s">
        <v>210</v>
      </c>
      <c r="H13" s="279"/>
      <c r="I13" s="279"/>
      <c r="J13" s="279"/>
      <c r="K13" s="127" t="s">
        <v>79</v>
      </c>
      <c r="L13" s="65">
        <v>154</v>
      </c>
    </row>
    <row r="14" spans="2:12" x14ac:dyDescent="0.3">
      <c r="B14" s="274" t="s">
        <v>261</v>
      </c>
      <c r="C14" s="275"/>
      <c r="D14" s="161" t="s">
        <v>79</v>
      </c>
      <c r="E14" s="95">
        <v>11</v>
      </c>
      <c r="F14" s="98"/>
      <c r="G14" s="278" t="s">
        <v>247</v>
      </c>
      <c r="H14" s="279"/>
      <c r="I14" s="279"/>
      <c r="J14" s="279"/>
      <c r="K14" s="127" t="s">
        <v>79</v>
      </c>
      <c r="L14" s="65">
        <v>85</v>
      </c>
    </row>
    <row r="15" spans="2:12" x14ac:dyDescent="0.3">
      <c r="B15" s="274" t="s">
        <v>262</v>
      </c>
      <c r="C15" s="275"/>
      <c r="D15" s="161" t="s">
        <v>79</v>
      </c>
      <c r="E15" s="95">
        <v>67</v>
      </c>
      <c r="F15" s="98"/>
      <c r="G15" s="278" t="s">
        <v>230</v>
      </c>
      <c r="H15" s="279"/>
      <c r="I15" s="279"/>
      <c r="J15" s="279"/>
      <c r="K15" s="127" t="s">
        <v>79</v>
      </c>
      <c r="L15" s="65">
        <v>40</v>
      </c>
    </row>
    <row r="16" spans="2:12" x14ac:dyDescent="0.3">
      <c r="B16" s="233"/>
      <c r="F16" s="98"/>
      <c r="G16" s="278" t="s">
        <v>244</v>
      </c>
      <c r="H16" s="279"/>
      <c r="I16" s="279"/>
      <c r="J16" s="279"/>
      <c r="K16" s="127" t="s">
        <v>79</v>
      </c>
      <c r="L16" s="65">
        <v>126</v>
      </c>
    </row>
    <row r="17" spans="2:12" x14ac:dyDescent="0.3">
      <c r="B17" s="233"/>
      <c r="F17" s="98"/>
      <c r="L17" s="70"/>
    </row>
    <row r="18" spans="2:12" x14ac:dyDescent="0.3">
      <c r="B18" s="233"/>
      <c r="C18" s="162"/>
      <c r="D18" s="162"/>
      <c r="E18" s="63"/>
      <c r="F18" s="98"/>
      <c r="L18" s="70"/>
    </row>
    <row r="19" spans="2:12" x14ac:dyDescent="0.3">
      <c r="B19" s="274" t="s">
        <v>255</v>
      </c>
      <c r="C19" s="275"/>
      <c r="D19" s="161" t="s">
        <v>79</v>
      </c>
      <c r="E19" s="95">
        <v>35.75</v>
      </c>
      <c r="F19" s="98"/>
      <c r="L19" s="70"/>
    </row>
    <row r="20" spans="2:12" x14ac:dyDescent="0.3">
      <c r="B20" s="233"/>
      <c r="C20" s="162"/>
      <c r="D20" s="162"/>
      <c r="E20" s="63"/>
      <c r="F20" s="98"/>
      <c r="G20" s="162"/>
      <c r="H20" s="162"/>
      <c r="I20" s="162"/>
      <c r="J20" s="162"/>
      <c r="K20" s="211"/>
      <c r="L20" s="70"/>
    </row>
    <row r="21" spans="2:12" x14ac:dyDescent="0.3">
      <c r="B21" s="233"/>
      <c r="C21" s="162"/>
      <c r="D21" s="162"/>
      <c r="E21" s="63"/>
      <c r="F21" s="98"/>
      <c r="G21" s="162"/>
      <c r="H21" s="162"/>
      <c r="I21" s="162"/>
      <c r="J21" s="162"/>
      <c r="K21" s="211"/>
      <c r="L21" s="70"/>
    </row>
    <row r="22" spans="2:12" x14ac:dyDescent="0.3">
      <c r="B22" s="233"/>
      <c r="C22" s="162"/>
      <c r="D22" s="162"/>
      <c r="E22" s="63"/>
      <c r="F22" s="98"/>
      <c r="G22" s="162"/>
      <c r="H22" s="162"/>
      <c r="I22" s="162"/>
      <c r="J22" s="162"/>
      <c r="K22" s="211"/>
      <c r="L22" s="70"/>
    </row>
    <row r="23" spans="2:12" ht="12.75" customHeight="1" x14ac:dyDescent="0.3">
      <c r="B23" s="66"/>
      <c r="C23" s="67"/>
      <c r="D23" s="67"/>
      <c r="E23" s="54"/>
      <c r="F23" s="97"/>
      <c r="J23" s="67"/>
      <c r="K23" s="67"/>
      <c r="L23" s="68"/>
    </row>
    <row r="24" spans="2:12" s="48" customFormat="1" ht="16.5" customHeight="1" thickBot="1" x14ac:dyDescent="0.4">
      <c r="B24" s="282" t="s">
        <v>71</v>
      </c>
      <c r="C24" s="283"/>
      <c r="D24" s="50" t="s">
        <v>79</v>
      </c>
      <c r="E24" s="111">
        <f>SUM(E8:E23)</f>
        <v>632.32299999999998</v>
      </c>
      <c r="F24" s="103"/>
      <c r="G24" s="291" t="s">
        <v>71</v>
      </c>
      <c r="H24" s="292"/>
      <c r="I24" s="292"/>
      <c r="J24" s="293"/>
      <c r="K24" s="128" t="s">
        <v>79</v>
      </c>
      <c r="L24" s="110">
        <f>SUM(L8:L23)</f>
        <v>3227.6390000000001</v>
      </c>
    </row>
    <row r="25" spans="2:12" ht="15.6" thickTop="1" x14ac:dyDescent="0.3">
      <c r="B25" s="66"/>
      <c r="C25" s="67"/>
      <c r="D25" s="67"/>
      <c r="E25" s="54"/>
      <c r="F25" s="97"/>
      <c r="K25" s="63"/>
      <c r="L25" s="57"/>
    </row>
    <row r="26" spans="2:12" ht="17.25" customHeight="1" x14ac:dyDescent="0.3">
      <c r="B26" s="294" t="s">
        <v>70</v>
      </c>
      <c r="C26" s="295"/>
      <c r="D26" s="67"/>
      <c r="E26" s="54"/>
      <c r="F26" s="97"/>
      <c r="G26" s="295" t="s">
        <v>70</v>
      </c>
      <c r="H26" s="295"/>
      <c r="I26" s="295"/>
      <c r="J26" s="296"/>
      <c r="K26" s="67"/>
      <c r="L26" s="68"/>
    </row>
    <row r="27" spans="2:12" ht="6" customHeight="1" x14ac:dyDescent="0.3">
      <c r="B27" s="66"/>
      <c r="C27" s="67"/>
      <c r="D27" s="67"/>
      <c r="E27" s="54"/>
      <c r="F27" s="97"/>
      <c r="G27" s="96"/>
      <c r="H27" s="67"/>
      <c r="I27" s="67"/>
      <c r="J27" s="67"/>
      <c r="K27" s="67"/>
      <c r="L27" s="68"/>
    </row>
    <row r="28" spans="2:12" ht="17.100000000000001" customHeight="1" x14ac:dyDescent="0.3">
      <c r="B28" s="274" t="s">
        <v>180</v>
      </c>
      <c r="C28" s="275"/>
      <c r="D28" s="161" t="s">
        <v>79</v>
      </c>
      <c r="E28" s="95">
        <v>5</v>
      </c>
      <c r="F28" s="249"/>
      <c r="G28" s="278" t="s">
        <v>125</v>
      </c>
      <c r="H28" s="279"/>
      <c r="I28" s="279"/>
      <c r="J28" s="279"/>
      <c r="K28" s="127" t="s">
        <v>79</v>
      </c>
      <c r="L28" s="69">
        <v>324.47000000000003</v>
      </c>
    </row>
    <row r="29" spans="2:12" ht="17.100000000000001" customHeight="1" x14ac:dyDescent="0.3">
      <c r="B29" s="274" t="s">
        <v>206</v>
      </c>
      <c r="C29" s="275"/>
      <c r="D29" s="161" t="s">
        <v>79</v>
      </c>
      <c r="E29" s="95">
        <v>110</v>
      </c>
      <c r="F29" s="97"/>
      <c r="G29" s="278" t="s">
        <v>126</v>
      </c>
      <c r="H29" s="279"/>
      <c r="I29" s="279"/>
      <c r="J29" s="279"/>
      <c r="K29" s="127" t="s">
        <v>79</v>
      </c>
      <c r="L29" s="69">
        <v>325</v>
      </c>
    </row>
    <row r="30" spans="2:12" ht="17.100000000000001" customHeight="1" x14ac:dyDescent="0.3">
      <c r="B30" s="274" t="s">
        <v>207</v>
      </c>
      <c r="C30" s="275">
        <v>75</v>
      </c>
      <c r="D30" s="161" t="s">
        <v>79</v>
      </c>
      <c r="E30" s="95">
        <v>75</v>
      </c>
      <c r="F30" s="97"/>
      <c r="G30" s="278" t="s">
        <v>156</v>
      </c>
      <c r="H30" s="279"/>
      <c r="I30" s="279"/>
      <c r="J30" s="279"/>
      <c r="K30" s="127" t="s">
        <v>79</v>
      </c>
      <c r="L30" s="69">
        <v>324.47000000000003</v>
      </c>
    </row>
    <row r="31" spans="2:12" ht="17.100000000000001" customHeight="1" x14ac:dyDescent="0.3">
      <c r="B31" s="276" t="s">
        <v>263</v>
      </c>
      <c r="C31" s="277"/>
      <c r="D31" s="247" t="s">
        <v>79</v>
      </c>
      <c r="E31" s="248">
        <v>3</v>
      </c>
      <c r="F31" s="97"/>
      <c r="G31" s="278" t="s">
        <v>128</v>
      </c>
      <c r="H31" s="279"/>
      <c r="I31" s="279"/>
      <c r="J31" s="279"/>
      <c r="K31" s="127" t="s">
        <v>79</v>
      </c>
      <c r="L31" s="69">
        <v>324.47500000000002</v>
      </c>
    </row>
    <row r="32" spans="2:12" ht="17.100000000000001" customHeight="1" x14ac:dyDescent="0.3">
      <c r="B32" s="233"/>
      <c r="C32" s="162"/>
      <c r="D32" s="162"/>
      <c r="E32" s="63"/>
      <c r="F32" s="97"/>
      <c r="G32" s="278" t="s">
        <v>245</v>
      </c>
      <c r="H32" s="279"/>
      <c r="I32" s="279"/>
      <c r="J32" s="279"/>
      <c r="K32" s="127" t="s">
        <v>79</v>
      </c>
      <c r="L32" s="69">
        <v>75.319999999999993</v>
      </c>
    </row>
    <row r="33" spans="2:14" ht="17.100000000000001" customHeight="1" x14ac:dyDescent="0.3">
      <c r="B33" s="233"/>
      <c r="C33" s="162"/>
      <c r="D33" s="162"/>
      <c r="E33" s="63"/>
      <c r="F33" s="97"/>
      <c r="G33" s="278" t="s">
        <v>246</v>
      </c>
      <c r="H33" s="279"/>
      <c r="I33" s="279"/>
      <c r="J33" s="279"/>
      <c r="K33" s="127" t="s">
        <v>79</v>
      </c>
      <c r="L33" s="69">
        <v>81.78</v>
      </c>
    </row>
    <row r="34" spans="2:14" ht="17.100000000000001" customHeight="1" x14ac:dyDescent="0.3">
      <c r="B34" s="233"/>
      <c r="C34" s="162"/>
      <c r="D34" s="162"/>
      <c r="E34" s="63"/>
      <c r="F34" s="97"/>
      <c r="G34" s="234"/>
      <c r="H34" s="234"/>
      <c r="I34" s="234"/>
      <c r="J34" s="234"/>
      <c r="K34" s="211"/>
      <c r="L34" s="70"/>
    </row>
    <row r="35" spans="2:14" ht="17.100000000000001" customHeight="1" x14ac:dyDescent="0.3">
      <c r="B35" s="233"/>
      <c r="C35" s="162"/>
      <c r="D35" s="162"/>
      <c r="E35" s="63"/>
      <c r="F35" s="97"/>
      <c r="G35" s="234"/>
      <c r="H35" s="234"/>
      <c r="I35" s="234"/>
      <c r="J35" s="234"/>
      <c r="K35" s="211"/>
      <c r="L35" s="70"/>
    </row>
    <row r="36" spans="2:14" ht="17.100000000000001" customHeight="1" x14ac:dyDescent="0.3">
      <c r="B36" s="233"/>
      <c r="C36" s="162"/>
      <c r="D36" s="162"/>
      <c r="E36" s="63"/>
      <c r="F36" s="97"/>
      <c r="G36" s="234"/>
      <c r="H36" s="234"/>
      <c r="I36" s="234"/>
      <c r="J36" s="234"/>
      <c r="K36" s="211"/>
      <c r="L36" s="70"/>
    </row>
    <row r="37" spans="2:14" ht="17.100000000000001" customHeight="1" x14ac:dyDescent="0.3">
      <c r="B37" s="233"/>
      <c r="C37" s="162"/>
      <c r="D37" s="162"/>
      <c r="E37" s="63"/>
      <c r="F37" s="97"/>
      <c r="G37" s="234"/>
      <c r="H37" s="234"/>
      <c r="I37" s="234"/>
      <c r="J37" s="234"/>
      <c r="K37" s="211"/>
      <c r="L37" s="70"/>
    </row>
    <row r="38" spans="2:14" ht="17.100000000000001" customHeight="1" x14ac:dyDescent="0.3">
      <c r="B38" s="233"/>
      <c r="C38" s="162"/>
      <c r="D38" s="162"/>
      <c r="E38" s="63"/>
      <c r="F38" s="97"/>
      <c r="G38" s="234"/>
      <c r="H38" s="234"/>
      <c r="I38" s="234"/>
      <c r="J38" s="234"/>
      <c r="K38" s="211"/>
      <c r="L38" s="70"/>
    </row>
    <row r="39" spans="2:14" ht="17.100000000000001" customHeight="1" x14ac:dyDescent="0.3">
      <c r="B39" s="233"/>
      <c r="C39" s="162"/>
      <c r="D39" s="162"/>
      <c r="E39" s="63"/>
      <c r="F39" s="97"/>
      <c r="G39" s="234"/>
      <c r="H39" s="234"/>
      <c r="I39" s="234"/>
      <c r="J39" s="234"/>
      <c r="K39" s="211"/>
      <c r="L39" s="70"/>
    </row>
    <row r="40" spans="2:14" ht="8.25" customHeight="1" x14ac:dyDescent="0.3">
      <c r="B40" s="66"/>
      <c r="C40" s="67"/>
      <c r="D40" s="162"/>
      <c r="E40" s="63"/>
      <c r="F40" s="97"/>
      <c r="G40" s="162"/>
      <c r="H40" s="162"/>
      <c r="I40" s="162"/>
      <c r="J40" s="162"/>
      <c r="K40" s="162"/>
      <c r="L40" s="70"/>
    </row>
    <row r="41" spans="2:14" s="48" customFormat="1" ht="18.600000000000001" thickBot="1" x14ac:dyDescent="0.4">
      <c r="B41" s="286" t="s">
        <v>88</v>
      </c>
      <c r="C41" s="287"/>
      <c r="D41" s="51" t="s">
        <v>79</v>
      </c>
      <c r="E41" s="102">
        <f>SUM(E28:E40)</f>
        <v>193</v>
      </c>
      <c r="F41" s="101"/>
      <c r="G41" s="49" t="s">
        <v>83</v>
      </c>
      <c r="H41" s="49"/>
      <c r="I41" s="284" t="s">
        <v>84</v>
      </c>
      <c r="J41" s="283"/>
      <c r="K41" s="208" t="s">
        <v>79</v>
      </c>
      <c r="L41" s="209">
        <f>SUM(L28:L40)</f>
        <v>1455.5149999999999</v>
      </c>
      <c r="N41" s="240"/>
    </row>
    <row r="42" spans="2:14" ht="6.75" customHeight="1" thickTop="1" x14ac:dyDescent="0.3">
      <c r="B42" s="288"/>
      <c r="C42" s="289"/>
      <c r="D42" s="265"/>
      <c r="E42" s="290"/>
      <c r="F42" s="99"/>
      <c r="G42" s="162"/>
      <c r="H42" s="162"/>
      <c r="I42" s="162"/>
      <c r="J42" s="162"/>
      <c r="K42" s="265"/>
      <c r="L42" s="266"/>
    </row>
    <row r="43" spans="2:14" s="48" customFormat="1" ht="21.6" thickBot="1" x14ac:dyDescent="0.45">
      <c r="B43" s="282" t="s">
        <v>80</v>
      </c>
      <c r="C43" s="283"/>
      <c r="D43" s="206" t="s">
        <v>79</v>
      </c>
      <c r="E43" s="210">
        <f>E24-E41</f>
        <v>439.32299999999998</v>
      </c>
      <c r="F43" s="103"/>
      <c r="G43" s="49"/>
      <c r="H43" s="49"/>
      <c r="I43" s="284" t="s">
        <v>85</v>
      </c>
      <c r="J43" s="285"/>
      <c r="K43" s="130" t="s">
        <v>79</v>
      </c>
      <c r="L43" s="205">
        <f>L24-L41</f>
        <v>1772.1240000000003</v>
      </c>
    </row>
    <row r="44" spans="2:14" ht="13.5" customHeight="1" thickTop="1" thickBot="1" x14ac:dyDescent="0.35">
      <c r="B44" s="71"/>
      <c r="C44" s="72"/>
      <c r="D44" s="72"/>
      <c r="E44" s="73"/>
      <c r="F44" s="100"/>
      <c r="G44" s="74"/>
      <c r="H44" s="74"/>
      <c r="I44" s="75"/>
      <c r="J44" s="75"/>
      <c r="K44" s="75"/>
      <c r="L44" s="76"/>
    </row>
    <row r="45" spans="2:14" ht="7.5" customHeight="1" thickTop="1" thickBot="1" x14ac:dyDescent="0.35">
      <c r="B45" s="66"/>
      <c r="C45" s="67"/>
      <c r="D45" s="67"/>
      <c r="E45" s="54"/>
      <c r="F45" s="54"/>
      <c r="L45" s="57"/>
    </row>
    <row r="46" spans="2:14" ht="21.75" customHeight="1" thickBot="1" x14ac:dyDescent="0.35">
      <c r="B46" s="93"/>
      <c r="C46" s="89"/>
      <c r="D46" s="267"/>
      <c r="E46" s="268"/>
      <c r="F46" s="269" t="s">
        <v>140</v>
      </c>
      <c r="G46" s="269"/>
      <c r="H46" s="270"/>
      <c r="I46" s="162"/>
      <c r="J46" s="271" t="s">
        <v>77</v>
      </c>
      <c r="K46" s="272"/>
      <c r="L46" s="273"/>
    </row>
    <row r="47" spans="2:14" ht="18.75" customHeight="1" x14ac:dyDescent="0.3">
      <c r="B47" s="66" t="s">
        <v>81</v>
      </c>
      <c r="C47" s="90"/>
      <c r="D47" s="280"/>
      <c r="E47" s="281"/>
      <c r="F47" s="280" t="s">
        <v>82</v>
      </c>
      <c r="G47" s="280"/>
      <c r="H47" s="281"/>
      <c r="I47" s="67"/>
      <c r="J47" s="77" t="s">
        <v>86</v>
      </c>
      <c r="K47" s="78" t="s">
        <v>79</v>
      </c>
      <c r="L47" s="125">
        <f>E24+L24</f>
        <v>3859.962</v>
      </c>
    </row>
    <row r="48" spans="2:14" ht="20.25" customHeight="1" x14ac:dyDescent="0.3">
      <c r="B48" s="79"/>
      <c r="C48" s="91"/>
      <c r="E48" s="86"/>
      <c r="H48" s="86"/>
      <c r="J48" s="80" t="s">
        <v>84</v>
      </c>
      <c r="K48" s="81" t="s">
        <v>79</v>
      </c>
      <c r="L48" s="129">
        <f>E41+L41</f>
        <v>1648.5149999999999</v>
      </c>
    </row>
    <row r="49" spans="2:14" ht="24.75" customHeight="1" thickBot="1" x14ac:dyDescent="0.45">
      <c r="B49" s="94"/>
      <c r="C49" s="92"/>
      <c r="D49" s="87"/>
      <c r="E49" s="88"/>
      <c r="F49" s="87"/>
      <c r="G49" s="87"/>
      <c r="H49" s="88"/>
      <c r="J49" s="82" t="s">
        <v>87</v>
      </c>
      <c r="K49" s="109" t="s">
        <v>79</v>
      </c>
      <c r="L49" s="207">
        <f>L47-L48</f>
        <v>2211.4470000000001</v>
      </c>
      <c r="N49" s="241"/>
    </row>
    <row r="50" spans="2:14" x14ac:dyDescent="0.3">
      <c r="B50" s="79"/>
      <c r="L50" s="57"/>
    </row>
    <row r="51" spans="2:14" ht="15.6" thickBot="1" x14ac:dyDescent="0.35">
      <c r="B51" s="83"/>
      <c r="C51" s="84"/>
      <c r="D51" s="84"/>
      <c r="E51" s="84"/>
      <c r="F51" s="84"/>
      <c r="G51" s="84"/>
      <c r="H51" s="84"/>
      <c r="I51" s="84"/>
      <c r="J51" s="84"/>
      <c r="K51" s="84"/>
      <c r="L51" s="85"/>
    </row>
    <row r="52" spans="2:14" ht="15.6" thickTop="1" x14ac:dyDescent="0.3"/>
  </sheetData>
  <mergeCells count="50">
    <mergeCell ref="B2:K2"/>
    <mergeCell ref="B3:L3"/>
    <mergeCell ref="B4:E4"/>
    <mergeCell ref="G4:L4"/>
    <mergeCell ref="B6:D6"/>
    <mergeCell ref="G6:J6"/>
    <mergeCell ref="B8:C8"/>
    <mergeCell ref="G8:J8"/>
    <mergeCell ref="B9:C9"/>
    <mergeCell ref="G9:J9"/>
    <mergeCell ref="B10:C10"/>
    <mergeCell ref="G10:J10"/>
    <mergeCell ref="B11:C11"/>
    <mergeCell ref="B24:C24"/>
    <mergeCell ref="G24:J24"/>
    <mergeCell ref="B26:C26"/>
    <mergeCell ref="G26:J26"/>
    <mergeCell ref="G11:J11"/>
    <mergeCell ref="B19:C19"/>
    <mergeCell ref="G15:J15"/>
    <mergeCell ref="G16:J16"/>
    <mergeCell ref="G12:J12"/>
    <mergeCell ref="B14:C14"/>
    <mergeCell ref="G13:J13"/>
    <mergeCell ref="B12:C12"/>
    <mergeCell ref="B13:C13"/>
    <mergeCell ref="G14:J14"/>
    <mergeCell ref="B15:C15"/>
    <mergeCell ref="D47:E47"/>
    <mergeCell ref="F47:H47"/>
    <mergeCell ref="B43:C43"/>
    <mergeCell ref="I43:J43"/>
    <mergeCell ref="G32:J32"/>
    <mergeCell ref="B41:C41"/>
    <mergeCell ref="I41:J41"/>
    <mergeCell ref="B42:C42"/>
    <mergeCell ref="D42:E42"/>
    <mergeCell ref="G33:J33"/>
    <mergeCell ref="K42:L42"/>
    <mergeCell ref="D46:E46"/>
    <mergeCell ref="F46:H46"/>
    <mergeCell ref="J46:L46"/>
    <mergeCell ref="B28:C28"/>
    <mergeCell ref="B29:C29"/>
    <mergeCell ref="B31:C31"/>
    <mergeCell ref="G28:J28"/>
    <mergeCell ref="G29:J29"/>
    <mergeCell ref="G30:J30"/>
    <mergeCell ref="G31:J31"/>
    <mergeCell ref="B30:C30"/>
  </mergeCells>
  <pageMargins left="0.1" right="0.1" top="0" bottom="0" header="0.3" footer="0.3"/>
  <pageSetup scale="7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6"/>
  <sheetViews>
    <sheetView showGridLines="0" workbookViewId="0">
      <selection activeCell="G31" sqref="G31"/>
    </sheetView>
  </sheetViews>
  <sheetFormatPr defaultColWidth="9.109375" defaultRowHeight="13.8" x14ac:dyDescent="0.3"/>
  <cols>
    <col min="1" max="1" width="6.5546875" style="38" customWidth="1"/>
    <col min="2" max="2" width="75.6640625" style="29" customWidth="1"/>
    <col min="3" max="3" width="11.5546875" style="40" customWidth="1"/>
    <col min="4" max="4" width="10" style="40" customWidth="1"/>
    <col min="5" max="5" width="2.6640625" style="29" customWidth="1"/>
    <col min="6" max="6" width="12.6640625" style="29" customWidth="1"/>
    <col min="7" max="7" width="10.44140625" style="29" customWidth="1"/>
    <col min="8" max="9" width="9.109375" style="29"/>
    <col min="10" max="10" width="42.109375" style="29" customWidth="1"/>
    <col min="11" max="11" width="18.88671875" style="29" customWidth="1"/>
    <col min="12" max="16384" width="9.109375" style="29"/>
  </cols>
  <sheetData>
    <row r="1" spans="1:11" ht="14.4" thickBot="1" x14ac:dyDescent="0.35">
      <c r="A1" s="30" t="s">
        <v>59</v>
      </c>
      <c r="B1" s="31" t="s">
        <v>90</v>
      </c>
      <c r="C1" s="31" t="s">
        <v>64</v>
      </c>
      <c r="D1" s="32" t="s">
        <v>0</v>
      </c>
    </row>
    <row r="2" spans="1:11" ht="15" customHeight="1" thickBot="1" x14ac:dyDescent="0.35">
      <c r="A2" s="132"/>
      <c r="B2" s="133"/>
      <c r="C2" s="134"/>
      <c r="D2" s="33">
        <v>0</v>
      </c>
      <c r="F2" s="141" t="s">
        <v>76</v>
      </c>
      <c r="G2" s="140">
        <f>C17+D3</f>
        <v>193</v>
      </c>
      <c r="I2" s="144">
        <f>C17</f>
        <v>193</v>
      </c>
    </row>
    <row r="3" spans="1:11" ht="12.75" customHeight="1" x14ac:dyDescent="0.3">
      <c r="A3" s="132"/>
      <c r="B3" s="133"/>
      <c r="C3" s="134"/>
      <c r="D3" s="33">
        <f>C3+D2</f>
        <v>0</v>
      </c>
    </row>
    <row r="4" spans="1:11" ht="14.4" thickBot="1" x14ac:dyDescent="0.35">
      <c r="C4" s="166"/>
    </row>
    <row r="5" spans="1:11" x14ac:dyDescent="0.3">
      <c r="A5" s="30" t="s">
        <v>59</v>
      </c>
      <c r="B5" s="31" t="s">
        <v>73</v>
      </c>
      <c r="C5" s="167" t="s">
        <v>64</v>
      </c>
      <c r="D5" s="32" t="s">
        <v>0</v>
      </c>
    </row>
    <row r="6" spans="1:11" s="136" customFormat="1" ht="15" x14ac:dyDescent="0.3">
      <c r="A6" s="132"/>
      <c r="B6" s="244" t="s">
        <v>180</v>
      </c>
      <c r="C6" s="134">
        <v>5</v>
      </c>
      <c r="D6" s="135">
        <f>C6</f>
        <v>5</v>
      </c>
      <c r="E6" s="95"/>
      <c r="J6" s="29"/>
      <c r="K6" s="29"/>
    </row>
    <row r="7" spans="1:11" s="136" customFormat="1" ht="14.1" customHeight="1" x14ac:dyDescent="0.3">
      <c r="A7" s="132"/>
      <c r="B7" s="133" t="s">
        <v>206</v>
      </c>
      <c r="C7" s="134">
        <v>110</v>
      </c>
      <c r="D7" s="135">
        <f t="shared" ref="D7:D12" si="0">D6+C7</f>
        <v>115</v>
      </c>
      <c r="J7" s="29"/>
      <c r="K7" s="29"/>
    </row>
    <row r="8" spans="1:11" s="136" customFormat="1" ht="14.1" customHeight="1" x14ac:dyDescent="0.3">
      <c r="A8" s="132"/>
      <c r="B8" s="133" t="s">
        <v>207</v>
      </c>
      <c r="C8" s="134">
        <v>75</v>
      </c>
      <c r="D8" s="135">
        <f t="shared" si="0"/>
        <v>190</v>
      </c>
      <c r="F8" s="137"/>
      <c r="J8" s="29"/>
      <c r="K8" s="29">
        <v>8.5</v>
      </c>
    </row>
    <row r="9" spans="1:11" s="136" customFormat="1" ht="14.1" customHeight="1" x14ac:dyDescent="0.3">
      <c r="A9" s="132"/>
      <c r="B9" s="46" t="s">
        <v>216</v>
      </c>
      <c r="C9" s="134">
        <v>3</v>
      </c>
      <c r="D9" s="135">
        <f t="shared" si="0"/>
        <v>193</v>
      </c>
      <c r="J9" s="29"/>
      <c r="K9" s="29">
        <v>10</v>
      </c>
    </row>
    <row r="10" spans="1:11" s="136" customFormat="1" ht="14.1" customHeight="1" thickBot="1" x14ac:dyDescent="0.35">
      <c r="A10" s="138"/>
      <c r="B10" s="46"/>
      <c r="C10" s="134"/>
      <c r="D10" s="135">
        <f t="shared" si="0"/>
        <v>193</v>
      </c>
      <c r="J10" s="29"/>
      <c r="K10" s="29">
        <v>3.5</v>
      </c>
    </row>
    <row r="11" spans="1:11" s="136" customFormat="1" ht="14.1" customHeight="1" thickBot="1" x14ac:dyDescent="0.35">
      <c r="A11" s="156"/>
      <c r="B11" s="157"/>
      <c r="C11" s="168"/>
      <c r="D11" s="155">
        <f>D10+C11</f>
        <v>193</v>
      </c>
      <c r="G11" s="140">
        <f>SUM(C6:C11)</f>
        <v>193</v>
      </c>
      <c r="J11" s="29"/>
      <c r="K11" s="29">
        <v>7</v>
      </c>
    </row>
    <row r="12" spans="1:11" s="136" customFormat="1" ht="14.1" customHeight="1" thickBot="1" x14ac:dyDescent="0.35">
      <c r="A12" s="151"/>
      <c r="B12" s="152"/>
      <c r="C12" s="169"/>
      <c r="D12" s="153">
        <f t="shared" si="0"/>
        <v>193</v>
      </c>
      <c r="G12" s="140">
        <f>SUM(C12)</f>
        <v>0</v>
      </c>
      <c r="J12" s="29"/>
      <c r="K12" s="29"/>
    </row>
    <row r="13" spans="1:11" s="136" customFormat="1" ht="14.1" customHeight="1" x14ac:dyDescent="0.3">
      <c r="A13" s="138"/>
      <c r="B13" s="133"/>
      <c r="C13" s="134"/>
      <c r="D13" s="135"/>
    </row>
    <row r="14" spans="1:11" s="136" customFormat="1" ht="14.1" customHeight="1" x14ac:dyDescent="0.3">
      <c r="A14" s="138"/>
      <c r="B14" s="46"/>
      <c r="C14" s="134"/>
      <c r="D14" s="135"/>
    </row>
    <row r="15" spans="1:11" s="136" customFormat="1" ht="14.1" customHeight="1" x14ac:dyDescent="0.3">
      <c r="A15" s="138"/>
      <c r="B15" s="46"/>
      <c r="C15" s="134"/>
      <c r="D15" s="135"/>
    </row>
    <row r="16" spans="1:11" ht="14.1" customHeight="1" x14ac:dyDescent="0.3">
      <c r="A16" s="34"/>
      <c r="B16" s="35"/>
      <c r="C16" s="33"/>
      <c r="D16" s="21"/>
    </row>
    <row r="17" spans="1:4" ht="14.1" customHeight="1" thickBot="1" x14ac:dyDescent="0.35">
      <c r="A17" s="36" t="s">
        <v>0</v>
      </c>
      <c r="B17" s="37"/>
      <c r="C17" s="148">
        <f>SUM(C6:C16)</f>
        <v>193</v>
      </c>
      <c r="D17" s="149">
        <f>SUM(C6:C16)+(C3+C2)</f>
        <v>193</v>
      </c>
    </row>
    <row r="18" spans="1:4" ht="14.1" customHeight="1" x14ac:dyDescent="0.3">
      <c r="B18" s="39"/>
      <c r="C18" s="39"/>
      <c r="D18" s="39"/>
    </row>
    <row r="19" spans="1:4" ht="14.1" customHeight="1" thickBot="1" x14ac:dyDescent="0.35"/>
    <row r="20" spans="1:4" ht="14.1" customHeight="1" x14ac:dyDescent="0.3">
      <c r="A20" s="30" t="s">
        <v>59</v>
      </c>
      <c r="B20" s="31" t="s">
        <v>74</v>
      </c>
      <c r="C20" s="31" t="s">
        <v>64</v>
      </c>
      <c r="D20" s="32" t="s">
        <v>0</v>
      </c>
    </row>
    <row r="21" spans="1:4" ht="14.1" customHeight="1" x14ac:dyDescent="0.3">
      <c r="A21" s="34"/>
      <c r="B21" s="46" t="s">
        <v>125</v>
      </c>
      <c r="C21" s="131" t="s">
        <v>79</v>
      </c>
      <c r="D21" s="69">
        <v>324.47000000000003</v>
      </c>
    </row>
    <row r="22" spans="1:4" ht="14.1" customHeight="1" x14ac:dyDescent="0.3">
      <c r="A22" s="34"/>
      <c r="B22" s="41" t="s">
        <v>126</v>
      </c>
      <c r="C22" s="131" t="s">
        <v>79</v>
      </c>
      <c r="D22" s="69">
        <v>325</v>
      </c>
    </row>
    <row r="23" spans="1:4" ht="14.1" customHeight="1" x14ac:dyDescent="0.3">
      <c r="A23" s="34"/>
      <c r="B23" s="41" t="s">
        <v>127</v>
      </c>
      <c r="C23" s="131" t="s">
        <v>79</v>
      </c>
      <c r="D23" s="69">
        <v>324.47000000000003</v>
      </c>
    </row>
    <row r="24" spans="1:4" ht="14.1" customHeight="1" x14ac:dyDescent="0.3">
      <c r="A24" s="34"/>
      <c r="B24" s="41" t="s">
        <v>128</v>
      </c>
      <c r="C24" s="131" t="s">
        <v>79</v>
      </c>
      <c r="D24" s="69">
        <v>324.47500000000002</v>
      </c>
    </row>
    <row r="25" spans="1:4" ht="14.1" customHeight="1" x14ac:dyDescent="0.3">
      <c r="A25" s="34"/>
      <c r="B25" s="41" t="s">
        <v>129</v>
      </c>
      <c r="C25" s="131" t="s">
        <v>79</v>
      </c>
      <c r="D25" s="69">
        <v>75.319999999999993</v>
      </c>
    </row>
    <row r="26" spans="1:4" ht="14.1" customHeight="1" x14ac:dyDescent="0.3">
      <c r="A26" s="34"/>
      <c r="B26" s="243" t="s">
        <v>184</v>
      </c>
      <c r="C26" s="131" t="s">
        <v>79</v>
      </c>
      <c r="D26" s="69">
        <v>81.78</v>
      </c>
    </row>
    <row r="27" spans="1:4" ht="14.1" customHeight="1" x14ac:dyDescent="0.3">
      <c r="A27" s="34"/>
      <c r="B27" s="41"/>
      <c r="C27" s="131"/>
      <c r="D27" s="69"/>
    </row>
    <row r="28" spans="1:4" ht="14.1" customHeight="1" x14ac:dyDescent="0.3">
      <c r="A28" s="34"/>
      <c r="B28" s="41"/>
      <c r="C28" s="131"/>
      <c r="D28" s="69"/>
    </row>
    <row r="29" spans="1:4" ht="14.1" customHeight="1" x14ac:dyDescent="0.3">
      <c r="A29" s="34"/>
      <c r="B29" s="41"/>
      <c r="C29" s="131"/>
      <c r="D29" s="69"/>
    </row>
    <row r="30" spans="1:4" ht="14.1" customHeight="1" thickBot="1" x14ac:dyDescent="0.35">
      <c r="A30" s="36" t="s">
        <v>0</v>
      </c>
      <c r="B30" s="37"/>
      <c r="C30" s="349">
        <f>SUM(D21:D29)</f>
        <v>1455.5149999999999</v>
      </c>
      <c r="D30" s="350"/>
    </row>
    <row r="31" spans="1:4" ht="14.1" customHeight="1" x14ac:dyDescent="0.3"/>
    <row r="32" spans="1:4" ht="14.1" customHeight="1" thickBot="1" x14ac:dyDescent="0.35"/>
    <row r="33" spans="1:4" ht="14.1" customHeight="1" thickBot="1" x14ac:dyDescent="0.35">
      <c r="A33" s="351" t="s">
        <v>75</v>
      </c>
      <c r="B33" s="352"/>
      <c r="C33" s="353">
        <f>C30+D17</f>
        <v>1648.5149999999999</v>
      </c>
      <c r="D33" s="354"/>
    </row>
    <row r="34" spans="1:4" ht="14.1" customHeight="1" x14ac:dyDescent="0.3"/>
    <row r="35" spans="1:4" ht="14.1" customHeight="1" x14ac:dyDescent="0.3"/>
    <row r="36" spans="1:4" ht="14.1" customHeight="1" x14ac:dyDescent="0.3">
      <c r="A36" s="29"/>
      <c r="C36" s="29"/>
      <c r="D36" s="29"/>
    </row>
  </sheetData>
  <mergeCells count="3">
    <mergeCell ref="C30:D30"/>
    <mergeCell ref="A33:B33"/>
    <mergeCell ref="C33:D33"/>
  </mergeCells>
  <pageMargins left="0.2" right="0.2" top="0.5" bottom="0.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SS Final Audit</vt:lpstr>
      <vt:lpstr>WIDOWS List</vt:lpstr>
      <vt:lpstr>WID FUND BILLS </vt:lpstr>
      <vt:lpstr>SS FUND</vt:lpstr>
      <vt:lpstr>EDUCATION</vt:lpstr>
      <vt:lpstr>Education fund </vt:lpstr>
      <vt:lpstr>OFFERTORY</vt:lpstr>
      <vt:lpstr>SS Final 2022</vt:lpstr>
      <vt:lpstr>Expence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Varghese Kochuveetil Varghese</dc:creator>
  <cp:lastModifiedBy>IGx Lightning</cp:lastModifiedBy>
  <cp:lastPrinted>2026-06-08T05:30:21Z</cp:lastPrinted>
  <dcterms:created xsi:type="dcterms:W3CDTF">2018-03-18T07:46:07Z</dcterms:created>
  <dcterms:modified xsi:type="dcterms:W3CDTF">2026-06-09T08:48:38Z</dcterms:modified>
</cp:coreProperties>
</file>